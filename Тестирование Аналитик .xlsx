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Объединенные данные" sheetId="1" r:id="rId1"/>
    <sheet name="Сводная таблица" sheetId="4" r:id="rId2"/>
    <sheet name="ТОП 3" sheetId="6" r:id="rId3"/>
    <sheet name="График" sheetId="8" r:id="rId4"/>
    <sheet name="Лист2" sheetId="2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<sst xmlns="http://schemas.openxmlformats.org/spreadsheetml/2006/main" count="1060" uniqueCount="35">
  <si>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</si>
  <si>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</si>
  <si>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</si>
  <si>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</si>
  <si>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</si>
  <si>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</si>
  <si>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</si>
  <si>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</si>
  <si>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</si>
  <si>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</si>
  <si>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</si>
  <si>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</si>
  <si>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</si>
  <si>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</si>
  <si>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</si>
  <si>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</si>
  <si>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</si>
  <si>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</si>
  <si>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</si>
  <si>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</si>
  <si>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</si>
  <si>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</si>
  <si>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</si>
  <si>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</si>
  <si>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</si>
  <si>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</si>
  <si>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</si>
  <si>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(ВСЕ)</t>
  </si>
  <si>
    <t>Сумма Товарооборот, руб</t>
  </si>
  <si>
    <t>Среднее из Товарооборот на склад</t>
  </si>
  <si>
    <t>Доля, %</t>
  </si>
  <si>
    <t>Общий итог</t>
  </si>
  <si>
    <t>ТОП - 3 территорий</t>
  </si>
  <si>
    <t>по доле</t>
  </si>
  <si>
    <t>по товарообороту на склад за последнюю неделю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</si>
</sst>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yyyy\-mm\-dd"/>
  </numFmts>
  <fonts count="26">
    <font>
      <sz val="11"/>
      <color theme="1"/>
      <name val="Calibri"/>
      <charset val="134"/>
      <scheme val="minor"/>
    </font>
    <font>
      <b/>
      <sz val="12"/>
      <color theme="0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i/>
      <sz val="12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20" applyNumberFormat="0" applyAlignment="0" applyProtection="0">
      <alignment vertical="center"/>
    </xf>
    <xf numFmtId="0" fontId="16" fillId="8" borderId="21" applyNumberFormat="0" applyAlignment="0" applyProtection="0">
      <alignment vertical="center"/>
    </xf>
    <xf numFmtId="0" fontId="17" fillId="8" borderId="20" applyNumberFormat="0" applyAlignment="0" applyProtection="0">
      <alignment vertical="center"/>
    </xf>
    <xf numFmtId="0" fontId="18" fillId="9" borderId="22" applyNumberFormat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5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180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10" fontId="5" fillId="0" borderId="5" xfId="0" applyNumberFormat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0" fontId="2" fillId="0" borderId="0" xfId="0" applyNumberFormat="1" applyFont="1" applyAlignment="1"/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80" fontId="2" fillId="5" borderId="10" xfId="0" applyNumberFormat="1" applyFont="1" applyFill="1" applyBorder="1"/>
    <xf numFmtId="0" fontId="2" fillId="5" borderId="11" xfId="0" applyFont="1" applyFill="1" applyBorder="1"/>
    <xf numFmtId="0" fontId="2" fillId="5" borderId="11" xfId="0" applyFont="1" applyFill="1" applyBorder="1"/>
    <xf numFmtId="0" fontId="2" fillId="5" borderId="11" xfId="0" applyFont="1" applyFill="1" applyBorder="1" applyAlignment="1"/>
    <xf numFmtId="180" fontId="2" fillId="0" borderId="10" xfId="0" applyNumberFormat="1" applyFont="1" applyFill="1" applyBorder="1"/>
    <xf numFmtId="0" fontId="2" fillId="0" borderId="11" xfId="0" applyFont="1" applyFill="1" applyBorder="1"/>
    <xf numFmtId="0" fontId="2" fillId="0" borderId="11" xfId="0" applyFont="1" applyFill="1" applyBorder="1"/>
    <xf numFmtId="0" fontId="2" fillId="0" borderId="11" xfId="0" applyFont="1" applyFill="1" applyBorder="1" applyAlignment="1"/>
    <xf numFmtId="0" fontId="1" fillId="2" borderId="1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2" fillId="5" borderId="13" xfId="0" applyFont="1" applyFill="1" applyBorder="1" applyAlignment="1"/>
    <xf numFmtId="0" fontId="2" fillId="0" borderId="13" xfId="0" applyFont="1" applyFill="1" applyBorder="1" applyAlignment="1"/>
    <xf numFmtId="180" fontId="2" fillId="0" borderId="14" xfId="0" applyNumberFormat="1" applyFont="1" applyFill="1" applyBorder="1"/>
    <xf numFmtId="0" fontId="2" fillId="0" borderId="15" xfId="0" applyFont="1" applyFill="1" applyBorder="1"/>
    <xf numFmtId="0" fontId="2" fillId="0" borderId="15" xfId="0" applyFont="1" applyFill="1" applyBorder="1"/>
    <xf numFmtId="0" fontId="2" fillId="0" borderId="15" xfId="0" applyFont="1" applyFill="1" applyBorder="1" applyAlignment="1"/>
    <xf numFmtId="0" fontId="2" fillId="0" borderId="16" xfId="0" applyFont="1" applyFill="1" applyBorder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41"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name val="Times New Roman"/>
        <scheme val="none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name val="Times New Roman"/>
        <scheme val="none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PivotStylePreset2_Accent1" table="0" count="10" xr9:uid="{267968C8-6FFD-4C36-ACC1-9EA1FD1885CA}">
      <tableStyleElement type="headerRow" dxfId="40"/>
      <tableStyleElement type="totalRow" dxfId="39"/>
      <tableStyleElement type="firstRowStripe" dxfId="38"/>
      <tableStyleElement type="firstColumnStripe" dxfId="37"/>
      <tableStyleElement type="firstSubtotalRow" dxfId="36"/>
      <tableStyleElement type="secondSubtotalRow" dxfId="35"/>
      <tableStyleElement type="firstRowSubheading" dxfId="34"/>
      <tableStyleElement type="secondRowSubheading" dxfId="33"/>
      <tableStyleElement type="pageFieldLabels" dxfId="32"/>
      <tableStyleElement type="pageFieldValues" dxfId="31"/>
    </tableStyle>
  </tableStyles>
  <colors>
    <mruColors>
      <color rgb="007E719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.xlsx]График!Сводная 
таблица3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b="1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Динамика товарооборота по неделям</a:t>
            </a:r>
            <a:endParaRPr b="1">
              <a:solidFill>
                <a:schemeClr val="tx1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solidFill>
          <a:schemeClr val="accent2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График!$B$2</c:f>
              <c:strCache>
                <c:ptCount val="1"/>
                <c:pt idx="0">
                  <c:v>Сумма Товарооборот, руб</c:v>
                </c:pt>
              </c:strCache>
            </c:strRef>
          </c:tx>
          <c:spPr>
            <a:gradFill>
              <a:gsLst>
                <a:gs pos="1000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7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График!$A$3:$A$9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График!$B$3:$B$9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983915409.85665</c:v>
                </c:pt>
                <c:pt idx="2">
                  <c:v>947263006.72395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755238094"/>
        <c:axId val="147437454"/>
      </c:barChart>
      <c:lineChart>
        <c:grouping val="standard"/>
        <c:varyColors val="0"/>
        <c:ser>
          <c:idx val="1"/>
          <c:order val="1"/>
          <c:tx>
            <c:strRef>
              <c:f>График!$C$2</c:f>
              <c:strCache>
                <c:ptCount val="1"/>
                <c:pt idx="0">
                  <c:v>Среднее из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0.00786752585044208"/>
                  <c:y val="0.19704023944130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224786452869774"/>
                  <c:y val="0.092284669105420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561966132174434"/>
                  <c:y val="0.15214499501163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02261390089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224786452869774"/>
                  <c:y val="0.03242434319920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640641390678855"/>
                  <c:y val="0.097273029597605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000" b="1" i="0" u="none" strike="noStrike" kern="1200" baseline="0">
                    <a:solidFill>
                      <a:schemeClr val="tx1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График!$A$3:$A$9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График!$C$3:$C$9</c:f>
              <c:numCache>
                <c:formatCode>General</c:formatCode>
                <c:ptCount val="6"/>
                <c:pt idx="0">
                  <c:v>185364.183693041</c:v>
                </c:pt>
                <c:pt idx="1">
                  <c:v>185696.149625078</c:v>
                </c:pt>
                <c:pt idx="2">
                  <c:v>183916.604171908</c:v>
                </c:pt>
                <c:pt idx="3">
                  <c:v>198574.574024725</c:v>
                </c:pt>
                <c:pt idx="4">
                  <c:v>193853.91031129</c:v>
                </c:pt>
                <c:pt idx="5">
                  <c:v>162439.385840777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28413256"/>
        <c:axId val="464513430"/>
      </c:lineChart>
      <c:catAx>
        <c:axId val="75523809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ru-RU" sz="1000" b="1" i="0" u="none" strike="noStrike" kern="1200" baseline="0">
                    <a:solidFill>
                      <a:schemeClr val="tx1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ru-RU" b="1">
                    <a:solidFill>
                      <a:schemeClr val="tx1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Неделя</a:t>
                </a:r>
                <a:endParaRPr lang="en-US" altLang="ru-RU" b="1">
                  <a:solidFill>
                    <a:schemeClr val="tx1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1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47437454"/>
        <c:crosses val="autoZero"/>
        <c:auto val="1"/>
        <c:lblAlgn val="ctr"/>
        <c:lblOffset val="100"/>
        <c:noMultiLvlLbl val="0"/>
      </c:catAx>
      <c:valAx>
        <c:axId val="1474374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1" i="0" u="none" strike="noStrike" kern="1200" baseline="0">
                    <a:solidFill>
                      <a:schemeClr val="tx1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ru-RU" sz="1200" b="1">
                    <a:solidFill>
                      <a:schemeClr val="tx1"/>
                    </a:solidFill>
                    <a:uFillTx/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Товарооборот, руб</a:t>
                </a:r>
                <a:endParaRPr lang="en-US" altLang="ru-RU" sz="1200" b="1">
                  <a:solidFill>
                    <a:schemeClr val="tx1"/>
                  </a:solidFill>
                  <a:uFillTx/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1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755238094"/>
        <c:crosses val="autoZero"/>
        <c:crossBetween val="between"/>
      </c:valAx>
      <c:catAx>
        <c:axId val="228413256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ru-RU" sz="900" b="1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464513430"/>
        <c:crosses val="autoZero"/>
        <c:auto val="1"/>
        <c:lblAlgn val="ctr"/>
        <c:lblOffset val="100"/>
        <c:noMultiLvlLbl val="0"/>
      </c:catAx>
      <c:valAx>
        <c:axId val="464513430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ru-RU" sz="1000" b="1" i="0" u="none" strike="noStrike" kern="1200" baseline="0">
                    <a:solidFill>
                      <a:schemeClr val="tx1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lang="en-US" altLang="ru-RU" sz="1200" b="1">
                    <a:solidFill>
                      <a:schemeClr val="tx1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Товарообарот на склад</a:t>
                </a:r>
                <a:endParaRPr lang="en-US" altLang="ru-RU" sz="1200" b="1">
                  <a:solidFill>
                    <a:schemeClr val="tx1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1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28413256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ru-RU" sz="900" b="1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ru-RU" sz="900" b="1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>
        <c:manualLayout>
          <c:xMode val="edge"/>
          <c:yMode val="edge"/>
          <c:x val="0.831709875618163"/>
          <c:y val="0.338543398736282"/>
          <c:w val="0.160422598531395"/>
          <c:h val="0.22929830395743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1" i="0" u="none" strike="noStrike" kern="1200" baseline="0">
              <a:solidFill>
                <a:schemeClr val="tx1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90e336-7ffd-4972-8c23-d9bdc5581a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-5400000" vert="horz" anchor="ctr" anchorCtr="1"/>
    <a:lstStyle/>
    <a:p>
      <a:pPr>
        <a:defRPr lang="ru-RU" b="1">
          <a:solidFill>
            <a:schemeClr val="tx1"/>
          </a:solidFill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3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>
      <cs:styleClr val="auto"/>
    </cs:effectRef>
    <cs:fontRef idx="minor">
      <a:schemeClr val="tx1"/>
    </cs:fontRef>
    <cs:spPr>
      <a:ln w="28575" cap="rnd">
        <a:solidFill>
          <a:schemeClr val="phClr"/>
        </a:solidFill>
        <a:round/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10</xdr:row>
      <xdr:rowOff>31750</xdr:rowOff>
    </xdr:from>
    <xdr:to>
      <xdr:col>7</xdr:col>
      <xdr:colOff>64135</xdr:colOff>
      <xdr:row>30</xdr:row>
      <xdr:rowOff>40640</xdr:rowOff>
    </xdr:to>
    <xdr:graphicFrame>
      <xdr:nvGraphicFramePr>
        <xdr:cNvPr id="2" name="Диаграмма 1"/>
        <xdr:cNvGraphicFramePr/>
      </xdr:nvGraphicFramePr>
      <xdr:xfrm>
        <a:off x="9525" y="2012950"/>
        <a:ext cx="8474710" cy="3818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28.0677662037" refreshedBy="Lenovo" recordCount="504">
  <cacheSource type="worksheet">
    <worksheetSource ref="A1:I505" sheet="Объединенные данные"/>
  </cacheSource>
  <cacheFields count="10">
    <cacheField name="Дата" numFmtId="180">
      <sharedItems containsSemiMixedTypes="0" containsString="0" containsNonDate="0" containsDate="1" minDate="2020-04-28T00:00:00" maxDate="2020-06-01T00:00:00" count="35">
        <d v="2020-05-31T00:00:00"/>
        <d v="2020-05-30T00:00:00"/>
        <d v="2020-05-28T00:00:00"/>
        <d v="2020-05-16T00:00:00"/>
        <d v="2020-05-19T00:00:00"/>
        <d v="2020-05-17T00:00:00"/>
        <d v="2020-05-09T00:00:00"/>
        <d v="2020-05-04T00:00:00"/>
        <d v="2020-04-29T00:00:00"/>
        <d v="2020-05-02T00:00:00"/>
        <d v="2020-05-26T00:00:00"/>
        <d v="2020-05-01T00:00:00"/>
        <d v="2020-05-12T00:00:00"/>
        <d v="2020-05-21T00:00:00"/>
        <d v="2020-05-20T00:00:00"/>
        <d v="2020-05-05T00:00:00"/>
        <d v="2020-04-28T00:00:00"/>
        <d v="2020-05-13T00:00:00"/>
        <d v="2020-05-03T00:00:00"/>
        <d v="2020-05-06T00:00:00"/>
        <d v="2020-05-23T00:00:00"/>
        <d v="2020-05-25T00:00:00"/>
        <d v="2020-04-30T00:00:00"/>
        <d v="2020-05-10T00:00:00"/>
        <d v="2020-05-08T00:00:00"/>
        <d v="2020-05-07T00:00:00"/>
        <d v="2020-05-24T00:00:00"/>
        <d v="2020-06-01T00:00:00"/>
        <d v="2020-05-29T00:00:00"/>
        <d v="2020-05-27T00:00:00"/>
        <d v="2020-05-22T00:00:00"/>
        <d v="2020-05-11T00:00:00"/>
        <d v="2020-05-18T00:00:00"/>
        <d v="2020-05-14T00:00:00"/>
        <d v="2020-05-15T00:00:00"/>
      </sharedItems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0" maxValue="524481" count="502">
        <n v="7944"/>
        <n v="10029"/>
        <n v="8536.5"/>
        <n v="38947.5"/>
        <n v="31842"/>
        <n v="32023.5"/>
        <n v="31147.5"/>
        <n v="25566"/>
        <n v="29319"/>
        <n v="29031"/>
        <n v="33423"/>
        <n v="32487"/>
        <n v="28219.5"/>
        <n v="31272"/>
        <n v="34077"/>
        <n v="31566"/>
        <n v="26940"/>
        <n v="29241"/>
        <n v="26082"/>
        <n v="32511"/>
        <n v="42703.5"/>
        <n v="35592"/>
        <n v="30445.5"/>
        <n v="36619.5"/>
        <n v="29409"/>
        <n v="27018"/>
        <n v="34303.5"/>
        <n v="36999"/>
        <n v="44001"/>
        <n v="30982.5"/>
        <n v="88063.5"/>
        <n v="84024"/>
        <n v="78057"/>
        <n v="69720"/>
        <n v="72928.5"/>
        <n v="79527"/>
        <n v="60463.5"/>
        <n v="79975.5"/>
        <n v="97534.5"/>
        <n v="71520"/>
        <n v="79485"/>
        <n v="93313.5"/>
        <n v="76585.5"/>
        <n v="81826.5"/>
        <n v="78846"/>
        <n v="77263.5"/>
        <n v="68994"/>
        <n v="102889.5"/>
        <n v="76999.5"/>
        <n v="77565"/>
        <n v="84132"/>
        <n v="69544.5"/>
        <n v="73204.5"/>
        <n v="76663.5"/>
        <n v="14265"/>
        <n v="11526"/>
        <n v="10402.5"/>
        <n v="13216.5"/>
        <n v="9130.5"/>
        <n v="10840.5"/>
        <n v="7866"/>
        <n v="11835"/>
        <n v="11619"/>
        <n v="9328.5"/>
        <n v="11250"/>
        <n v="13063.5"/>
        <n v="10147.5"/>
        <n v="12331.5"/>
        <n v="11202"/>
        <n v="89149.5"/>
        <n v="8185.5"/>
        <n v="108123"/>
        <n v="9210"/>
        <n v="14773.5"/>
        <n v="78141"/>
        <n v="12280.5"/>
        <n v="8934"/>
        <n v="12918"/>
        <n v="12528"/>
        <n v="11029.5"/>
        <n v="9994.5"/>
        <n v="12724.5"/>
        <n v="14728.5"/>
        <n v="13038"/>
        <n v="35482.5"/>
        <n v="32434.5"/>
        <n v="30486"/>
        <n v="32079"/>
        <n v="27072"/>
        <n v="25917"/>
        <n v="19461"/>
        <n v="31407"/>
        <n v="25792.5"/>
        <n v="26032.5"/>
        <n v="31707"/>
        <n v="29955"/>
        <n v="22848"/>
        <n v="23314.5"/>
        <n v="26464.5"/>
        <n v="23539.5"/>
        <n v="24678"/>
        <n v="38176.5"/>
        <n v="30603"/>
        <n v="24211.5"/>
        <n v="31399.5"/>
        <n v="25294.5"/>
        <n v="25468.5"/>
        <n v="31854"/>
        <n v="32359.5"/>
        <n v="39867"/>
        <n v="31974"/>
        <n v="321412.5"/>
        <n v="276568.5"/>
        <n v="269029.5"/>
        <n v="285972"/>
        <n v="283942.5"/>
        <n v="298059"/>
        <n v="232903.5"/>
        <n v="276966"/>
        <n v="296149.5"/>
        <n v="281796"/>
        <n v="288936"/>
        <n v="300151.5"/>
        <n v="262734"/>
        <n v="286002"/>
        <n v="258459"/>
        <n v="274083"/>
        <n v="277512"/>
        <n v="356982"/>
        <n v="266983.5"/>
        <n v="311131.5"/>
        <n v="287206.5"/>
        <n v="370092"/>
        <n v="247813.5"/>
        <n v="287740.5"/>
        <n v="408810"/>
        <n v="362536.5"/>
        <n v="357072"/>
        <n v="359214"/>
        <n v="360255"/>
        <n v="387220.5"/>
        <n v="296580"/>
        <n v="369861"/>
        <n v="372504"/>
        <n v="373392"/>
        <n v="378043.5"/>
        <n v="388668"/>
        <n v="333792"/>
        <n v="376060.5"/>
        <n v="350068.5"/>
        <n v="294337.5"/>
        <n v="342666"/>
        <n v="364882.5"/>
        <n v="355278"/>
        <n v="456885"/>
        <n v="278491.5"/>
        <n v="349734"/>
        <n v="401580"/>
        <n v="368649"/>
        <n v="463530"/>
        <n v="319110"/>
        <n v="375744"/>
        <n v="81331.5"/>
        <n v="75796.5"/>
        <n v="72861"/>
        <n v="83373"/>
        <n v="64108.5"/>
        <n v="74707.5"/>
        <n v="46216.5"/>
        <n v="67726.5"/>
        <n v="82228.5"/>
        <n v="64390.5"/>
        <n v="73126.5"/>
        <n v="99631.5"/>
        <n v="66396"/>
        <n v="73147.5"/>
        <n v="73062"/>
        <n v="379663.5"/>
        <n v="70581"/>
        <n v="453123"/>
        <n v="63012"/>
        <n v="89556"/>
        <n v="364638"/>
        <n v="66316.5"/>
        <n v="78235.5"/>
        <n v="88311"/>
        <n v="61804.5"/>
        <n v="71067"/>
        <n v="74649"/>
        <n v="44560.5"/>
        <n v="38250"/>
        <n v="34830"/>
        <n v="32239.5"/>
        <n v="30780"/>
        <n v="29142"/>
        <n v="26428.5"/>
        <n v="40744.5"/>
        <n v="46620"/>
        <n v="32419.5"/>
        <n v="40819.5"/>
        <n v="41391"/>
        <n v="29482.5"/>
        <n v="32181"/>
        <n v="35535"/>
        <n v="76234.5"/>
        <n v="29935.5"/>
        <n v="106926"/>
        <n v="30342"/>
        <n v="42999"/>
        <n v="69945"/>
        <n v="38740.5"/>
        <n v="31231.5"/>
        <n v="37489.5"/>
        <n v="34399.5"/>
        <n v="32851.5"/>
        <n v="38194.5"/>
        <n v="42423"/>
        <n v="48286.5"/>
        <n v="41442"/>
        <n v="18600"/>
        <n v="16638"/>
        <n v="15609"/>
        <n v="13948.5"/>
        <n v="12301.5"/>
        <n v="13014"/>
        <n v="12313.5"/>
        <n v="17391"/>
        <n v="17113.5"/>
        <n v="12802.5"/>
        <n v="16554"/>
        <n v="17329.5"/>
        <n v="15987"/>
        <n v="13303.5"/>
        <n v="14305.5"/>
        <n v="12924"/>
        <n v="14061"/>
        <n v="21958.5"/>
        <n v="17211"/>
        <n v="12753"/>
        <n v="16435.5"/>
        <n v="14494.5"/>
        <n v="12705"/>
        <n v="18075"/>
        <n v="13120.5"/>
        <n v="16237.5"/>
        <n v="11967"/>
        <n v="12037.5"/>
        <n v="7087.5"/>
        <n v="25816.5"/>
        <n v="4624.5"/>
        <n v="12259.5"/>
        <n v="5446.5"/>
        <n v="11296.5"/>
        <n v="12135"/>
        <n v="12630"/>
        <n v="8223"/>
        <n v="25149"/>
        <n v="10401"/>
        <n v="17689.5"/>
        <n v="8127"/>
        <n v="27250.5"/>
        <n v="8464.5"/>
        <n v="14167.5"/>
        <n v="16500"/>
        <n v="13260"/>
        <n v="4285.5"/>
        <n v="13440"/>
        <n v="9058.5"/>
        <n v="8719.5"/>
        <n v="12666"/>
        <n v="34563"/>
        <n v="28882.5"/>
        <n v="28275"/>
        <n v="26271"/>
        <n v="23587.5"/>
        <n v="18427.5"/>
        <n v="27156"/>
        <n v="35190"/>
        <n v="25483.5"/>
        <n v="25362"/>
        <n v="28849.5"/>
        <n v="26367"/>
        <n v="25539"/>
        <n v="14808"/>
        <n v="21343.5"/>
        <n v="17946"/>
        <n v="24337.5"/>
        <n v="36997.5"/>
        <n v="13864.5"/>
        <n v="28494"/>
        <n v="27883.5"/>
        <n v="31224"/>
        <n v="25020"/>
        <n v="26184"/>
        <n v="29824.5"/>
        <n v="208351.5"/>
        <n v="204637.5"/>
        <n v="31372.5"/>
        <n v="34681.5"/>
        <n v="28197"/>
        <n v="236551.5"/>
        <n v="223597.5"/>
        <n v="193363.5"/>
        <n v="188319"/>
        <n v="237544.5"/>
        <n v="203209.5"/>
        <n v="185979"/>
        <n v="244905"/>
        <n v="239409"/>
        <n v="192886.5"/>
        <n v="224233.5"/>
        <n v="219622.5"/>
        <n v="213582"/>
        <n v="195705"/>
        <n v="193722"/>
        <n v="257215.5"/>
        <n v="224779.5"/>
        <n v="292018.5"/>
        <n v="198751.5"/>
        <n v="214386"/>
        <n v="243825"/>
        <n v="232701"/>
        <n v="219411"/>
        <n v="200029.5"/>
        <n v="225480"/>
        <n v="211453.5"/>
        <n v="184801.5"/>
        <n v="177976.5"/>
        <n v="223617"/>
        <n v="176397"/>
        <n v="232369.5"/>
        <n v="226540.5"/>
        <n v="189679.5"/>
        <n v="213640.5"/>
        <n v="214885.5"/>
        <n v="203832"/>
        <n v="188662.5"/>
        <n v="215277"/>
        <n v="248148"/>
        <n v="246414"/>
        <n v="216498"/>
        <n v="275793"/>
        <n v="199753.5"/>
        <n v="192948"/>
        <n v="206038.5"/>
        <n v="231559.5"/>
        <n v="225076.5"/>
        <n v="209415"/>
        <n v="193719"/>
        <n v="12250.5"/>
        <n v="12541.5"/>
        <n v="206758.5"/>
        <n v="244734"/>
        <n v="191641.5"/>
        <n v="16368"/>
        <n v="14427"/>
        <n v="11745"/>
        <n v="11062.5"/>
        <n v="10018.5"/>
        <n v="10437"/>
        <n v="13644"/>
        <n v="13443"/>
        <n v="14182.5"/>
        <n v="14928"/>
        <n v="13941"/>
        <n v="14643"/>
        <n v="10032"/>
        <n v="12468"/>
        <n v="17943"/>
        <n v="15807"/>
        <n v="11976"/>
        <n v="14566.5"/>
        <n v="12976.5"/>
        <n v="11719.5"/>
        <n v="17197.5"/>
        <n v="14419.5"/>
        <n v="7816.5"/>
        <n v="6409.5"/>
        <n v="11220"/>
        <n v="8350.5"/>
        <n v="8428.5"/>
        <n v="32817"/>
        <n v="36031.5"/>
        <n v="5127"/>
        <n v="27187.5"/>
        <n v="20688"/>
        <n v="15678"/>
        <n v="31329"/>
        <n v="29658"/>
        <n v="34150.5"/>
        <n v="31947"/>
        <n v="10416"/>
        <n v="35431.5"/>
        <n v="78544.5"/>
        <n v="97963.5"/>
        <n v="77269.5"/>
        <n v="16143"/>
        <n v="72220.5"/>
        <n v="78058.5"/>
        <n v="70498.5"/>
        <n v="78961.5"/>
        <n v="12490.5"/>
        <n v="18036"/>
        <n v="11416.5"/>
        <n v="9007.5"/>
        <n v="87552"/>
        <n v="11680.5"/>
        <n v="14421"/>
        <n v="14823"/>
        <n v="31257"/>
        <n v="38074.5"/>
        <n v="32170.5"/>
        <n v="42397.5"/>
        <n v="28668"/>
        <n v="27411"/>
        <n v="32854.5"/>
        <n v="35346"/>
        <n v="286558.5"/>
        <n v="304092"/>
        <n v="272926.5"/>
        <n v="237099"/>
        <n v="273900"/>
        <n v="274059"/>
        <n v="318816"/>
        <n v="370012.5"/>
        <n v="393018"/>
        <n v="349699.5"/>
        <n v="318565.5"/>
        <n v="422965.5"/>
        <n v="355081.5"/>
        <n v="358387.5"/>
        <n v="403261.5"/>
        <n v="69010.5"/>
        <n v="75820.5"/>
        <n v="64740"/>
        <n v="59574"/>
        <n v="524481"/>
        <n v="70278"/>
        <n v="63645"/>
        <n v="75642"/>
        <n v="40420.5"/>
        <n v="53838"/>
        <n v="40528.5"/>
        <n v="32733"/>
        <n v="84433.5"/>
        <n v="36655.5"/>
        <n v="33886.5"/>
        <n v="41697"/>
        <n v="44569.5"/>
        <n v="18069"/>
        <n v="21483"/>
        <n v="16687.5"/>
        <n v="12238.5"/>
        <n v="14290.5"/>
        <n v="14385"/>
        <n v="16498.5"/>
        <n v="13203"/>
        <n v="15802.5"/>
        <n v="16476"/>
        <n v="12654"/>
        <n v="19647"/>
        <n v="12450"/>
        <n v="11161.5"/>
        <n v="12229.5"/>
        <n v="28050"/>
        <n v="30781.5"/>
        <n v="27960"/>
        <n v="23629.5"/>
        <n v="17052"/>
        <n v="27181.5"/>
        <n v="25656"/>
        <n v="29283"/>
        <n v="32782.5"/>
        <n v="215592"/>
        <n v="228334.5"/>
        <n v="188776.5"/>
        <n v="175293"/>
        <n v="201999"/>
        <n v="197946"/>
        <n v="230896.5"/>
        <n v="203532"/>
        <n v="214428"/>
        <n v="183228"/>
        <n v="166948.5"/>
        <n v="232102.5"/>
        <n v="196560"/>
        <n v="186496.5"/>
        <n v="219772.5"/>
        <n v="226476"/>
        <n v="8362.5"/>
        <n v="17008.5"/>
        <n v="5166"/>
        <n v="10941"/>
        <n v="14497.5"/>
        <n v="13810.5"/>
        <n v="13752"/>
        <n v="15276"/>
        <n v="4408.5"/>
        <n v="9927"/>
        <n v="9474"/>
        <n v="16878"/>
        <n v="14238"/>
      </sharedItems>
    </cacheField>
    <cacheField name="Товарооборот, руб" numFmtId="0">
      <sharedItems containsSemiMixedTypes="0" containsString="0" containsNumber="1" minValue="0" maxValue="54172029" count="504">
        <n v="623971.5"/>
        <n v="787101"/>
        <n v="643944"/>
        <n v="3395892"/>
        <n v="2771116.5"/>
        <n v="2882458.5"/>
        <n v="2831019"/>
        <n v="2372310"/>
        <n v="2623480.5"/>
        <n v="2711247"/>
        <n v="2970330"/>
        <n v="3031254"/>
        <n v="2595778.5"/>
        <n v="2744382"/>
        <n v="2929330.5"/>
        <n v="2906763"/>
        <n v="2411587.5"/>
        <n v="2629782"/>
        <n v="2434914"/>
        <n v="2938623"/>
        <n v="3628726.5"/>
        <n v="3176580"/>
        <n v="2817196.5"/>
        <n v="3312967.5"/>
        <n v="2645160"/>
        <n v="2472213"/>
        <n v="2924746.5"/>
        <n v="3473895"/>
        <n v="3921784.5"/>
        <n v="2827773"/>
        <n v="7583758.5"/>
        <n v="6815511"/>
        <n v="6774946.5"/>
        <n v="6264933"/>
        <n v="6642249"/>
        <n v="7180498.5"/>
        <n v="5554192.5"/>
        <n v="6676459.5"/>
        <n v="8893024.5"/>
        <n v="6398361"/>
        <n v="6633847.5"/>
        <n v="7247575.5"/>
        <n v="6921316.5"/>
        <n v="7163644.5"/>
        <n v="6993952.5"/>
        <n v="7013670"/>
        <n v="6168657"/>
        <n v="8089143"/>
        <n v="6645603"/>
        <n v="7023727.5"/>
        <n v="7483194"/>
        <n v="6293776.5"/>
        <n v="6591883.5"/>
        <n v="6451032"/>
        <n v="1130506.5"/>
        <n v="938764.5"/>
        <n v="843727.5"/>
        <n v="1046400"/>
        <n v="728890.5"/>
        <n v="797919"/>
        <n v="617881.5"/>
        <n v="983109"/>
        <n v="891139.5"/>
        <n v="732964.5"/>
        <n v="935523"/>
        <n v="1037247"/>
        <n v="793320"/>
        <n v="869983.5"/>
        <n v="865714.5"/>
        <n v="7512646.5"/>
        <n v="637881"/>
        <n v="9164707.5"/>
        <n v="696832.5"/>
        <n v="1241383.5"/>
        <n v="6641569.5"/>
        <n v="1030440"/>
        <n v="716196"/>
        <n v="1004788.5"/>
        <n v="959703"/>
        <n v="863754"/>
        <n v="828984"/>
        <n v="1045515"/>
        <n v="1260483"/>
        <n v="1114552.5"/>
        <n v="3222517.5"/>
        <n v="2865337.5"/>
        <n v="2694289.5"/>
        <n v="2902167"/>
        <n v="2450968.5"/>
        <n v="2397588"/>
        <n v="1799230.5"/>
        <n v="2907411"/>
        <n v="2374356"/>
        <n v="2370432"/>
        <n v="2853181.5"/>
        <n v="2692230"/>
        <n v="2079900"/>
        <n v="2136817.5"/>
        <n v="2373337.5"/>
        <n v="2170309.5"/>
        <n v="2232519"/>
        <n v="3385372.5"/>
        <n v="2865727.5"/>
        <n v="2267664"/>
        <n v="2862298.5"/>
        <n v="2271454.5"/>
        <n v="2350672.5"/>
        <n v="2915533.5"/>
        <n v="2991999"/>
        <n v="3654166.5"/>
        <n v="3004213.5"/>
        <n v="32235864"/>
        <n v="27093624"/>
        <n v="26659930.5"/>
        <n v="29768199"/>
        <n v="29357940"/>
        <n v="30869287.5"/>
        <n v="24342016.5"/>
        <n v="27872617.89885"/>
        <n v="31053316.5"/>
        <n v="29042520"/>
        <n v="27852900"/>
        <n v="29368771.61745"/>
        <n v="27278441.145"/>
        <n v="29159032.5"/>
        <n v="26467453.5"/>
        <n v="28427001"/>
        <n v="28770810.1056"/>
        <n v="35103926.71155"/>
        <n v="27165913.5"/>
        <n v="32418879"/>
        <n v="29536176.10605"/>
        <n v="38091556.5"/>
        <n v="25325271"/>
        <n v="28188534"/>
        <n v="42323631"/>
        <n v="37023243"/>
        <n v="36834567"/>
        <n v="38693427"/>
        <n v="38406954"/>
        <n v="41559384"/>
        <n v="31843737"/>
        <n v="38365960.5"/>
        <n v="40077193.5"/>
        <n v="39578577"/>
        <n v="37902156.57"/>
        <n v="39639309"/>
        <n v="35671734"/>
        <n v="39918028.5"/>
        <n v="37197115.5"/>
        <n v="29327766"/>
        <n v="36631999.5"/>
        <n v="35724493.5"/>
        <n v="38092344"/>
        <n v="46408080"/>
        <n v="28151004.75"/>
        <n v="36883428"/>
        <n v="43028734.5"/>
        <n v="39010875"/>
        <n v="49123180.5"/>
        <n v="33763989"/>
        <n v="38191381.5"/>
        <n v="6652179"/>
        <n v="6173463"/>
        <n v="5952802.5"/>
        <n v="7253427"/>
        <n v="5561452.5"/>
        <n v="6454458"/>
        <n v="4118251.5"/>
        <n v="5864989.5"/>
        <n v="7032225"/>
        <n v="5523145.5"/>
        <n v="5864085"/>
        <n v="7121946"/>
        <n v="5770539"/>
        <n v="6288246"/>
        <n v="6333828"/>
        <n v="39380178"/>
        <n v="6221320.5"/>
        <n v="46370904"/>
        <n v="5454121.5"/>
        <n v="7173117"/>
        <n v="37947688.5"/>
        <n v="5704650"/>
        <n v="6819594"/>
        <n v="7726069.5"/>
        <n v="5365708.5"/>
        <n v="6175837.5"/>
        <n v="6098236.5"/>
        <n v="4025148"/>
        <n v="3552937.5"/>
        <n v="3191155.5"/>
        <n v="3084892.5"/>
        <n v="2817853.5"/>
        <n v="2627595"/>
        <n v="2470465.5"/>
        <n v="3700311"/>
        <n v="4293241.5"/>
        <n v="3080614.5"/>
        <n v="3810394.5"/>
        <n v="3918987"/>
        <n v="2648688"/>
        <n v="2863600.5"/>
        <n v="3288069"/>
        <n v="6500848.5"/>
        <n v="2720002.5"/>
        <n v="9098386.5"/>
        <n v="2738127"/>
        <n v="3883215"/>
        <n v="6101931"/>
        <n v="3561655.5"/>
        <n v="2853310.5"/>
        <n v="3549097.5"/>
        <n v="3201358.5"/>
        <n v="2934504"/>
        <n v="3449302.5"/>
        <n v="3994153.5"/>
        <n v="4456441.5"/>
        <n v="3893680.5"/>
        <n v="1601425.5"/>
        <n v="1364847"/>
        <n v="1377577.5"/>
        <n v="1222932"/>
        <n v="1085211"/>
        <n v="1115992.5"/>
        <n v="1053220.5"/>
        <n v="1489132.5"/>
        <n v="1465842"/>
        <n v="1123830"/>
        <n v="1380751.5"/>
        <n v="1430254.5"/>
        <n v="1384179"/>
        <n v="1102887"/>
        <n v="1243507.5"/>
        <n v="1120009.5"/>
        <n v="1221057"/>
        <n v="1854001.5"/>
        <n v="1507867.5"/>
        <n v="1103068.5"/>
        <n v="1471537.5"/>
        <n v="1269786"/>
        <n v="1123894.5"/>
        <n v="1548099"/>
        <n v="1215033"/>
        <n v="1403047.5"/>
        <n v="1060489.5"/>
        <n v="1081216.5"/>
        <n v="610855.5"/>
        <n v="2360914.5"/>
        <n v="433243.5"/>
        <n v="1152054"/>
        <n v="505572"/>
        <n v="989632.5"/>
        <n v="1103623.5"/>
        <n v="1104858"/>
        <n v="694593"/>
        <n v="2277072"/>
        <n v="949912.5"/>
        <n v="1592119.5"/>
        <n v="665302.5"/>
        <n v="2457252"/>
        <n v="739291.5"/>
        <n v="1315075.5"/>
        <n v="1487928"/>
        <n v="1230687"/>
        <n v="404691"/>
        <n v="1198285.5"/>
        <n v="798759"/>
        <n v="769276.5"/>
        <n v="1184865"/>
        <n v="2922883.5"/>
        <n v="2446530"/>
        <n v="2435632.5"/>
        <n v="2384937"/>
        <n v="2155668"/>
        <n v="1682851.5"/>
        <n v="2410803"/>
        <n v="3168510"/>
        <n v="2243160"/>
        <n v="2198935.5"/>
        <n v="2520759"/>
        <n v="2380333.5"/>
        <n v="2263651.5"/>
        <n v="1336789.5"/>
        <n v="1906557"/>
        <n v="1609090.5"/>
        <n v="2159350.5"/>
        <n v="3089140.5"/>
        <n v="1239747"/>
        <n v="2512803"/>
        <n v="2560080"/>
        <n v="2767270.5"/>
        <n v="2235960"/>
        <n v="2308336.5"/>
        <n v="2526909"/>
        <n v="21615333"/>
        <n v="21114898.5"/>
        <n v="2794324.5"/>
        <n v="3005334"/>
        <n v="2559211.5"/>
        <n v="23689383"/>
        <n v="21945858"/>
        <n v="19546386"/>
        <n v="19218631.5"/>
        <n v="24292218"/>
        <n v="20871391.5"/>
        <n v="19625364"/>
        <n v="25163431.5"/>
        <n v="25413351"/>
        <n v="19205179.5"/>
        <n v="22253295"/>
        <n v="21959286"/>
        <n v="21919435.5"/>
        <n v="20003263.5"/>
        <n v="19437273"/>
        <n v="26492278.5"/>
        <n v="23032992"/>
        <n v="28590910.5"/>
        <n v="20582743.5"/>
        <n v="22530000"/>
        <n v="24890404.5"/>
        <n v="23881948.5"/>
        <n v="22460130"/>
        <n v="19959801"/>
        <n v="22355338.5"/>
        <n v="20590072.5"/>
        <n v="18449091"/>
        <n v="18085798.5"/>
        <n v="22796827.5"/>
        <n v="18625921.5"/>
        <n v="23856345"/>
        <n v="23953536"/>
        <n v="18718036.5"/>
        <n v="21042673.5"/>
        <n v="21411349.5"/>
        <n v="20880142.5"/>
        <n v="18784000.5"/>
        <n v="21585316.5"/>
        <n v="25519072.5"/>
        <n v="24527245.5"/>
        <n v="22126444.5"/>
        <n v="26806626"/>
        <n v="20535733.5"/>
        <n v="19806927"/>
        <n v="21740460"/>
        <n v="23443725"/>
        <n v="22846078.5"/>
        <n v="21463023"/>
        <n v="19071117"/>
        <n v="981519"/>
        <n v="992541"/>
        <n v="20717248.5"/>
        <n v="24151980"/>
        <n v="19549036.5"/>
        <n v="1316350.5"/>
        <n v="1126810.5"/>
        <n v="1157529"/>
        <n v="955801.5"/>
        <n v="906343.5"/>
        <n v="816859.5"/>
        <n v="833815.5"/>
        <n v="1134444"/>
        <n v="1092277.5"/>
        <n v="1172574"/>
        <n v="1217749.5"/>
        <n v="1145575.5"/>
        <n v="1172691"/>
        <n v="816150"/>
        <n v="1016566.5"/>
        <n v="1457391"/>
        <n v="1326705"/>
        <n v="1004511"/>
        <n v="1216557"/>
        <n v="1046848.5"/>
        <n v="965880"/>
        <n v="1386262.5"/>
        <n v="1210456.5"/>
        <n v="636345"/>
        <n v="493893"/>
        <n v="928675.5"/>
        <n v="651237"/>
        <n v="694669.5"/>
        <n v="3015751.5"/>
        <n v="3091069.5"/>
        <n v="468835.5"/>
        <n v="2479396.5"/>
        <n v="1773154.5"/>
        <n v="1387443"/>
        <n v="2826379.5"/>
        <n v="2703132"/>
        <n v="3038293.5"/>
        <n v="2945035.5"/>
        <n v="866023.5"/>
        <n v="3193167"/>
        <n v="6701083.5"/>
        <n v="7728465"/>
        <n v="6829921.5"/>
        <n v="1423410"/>
        <n v="6398719.5"/>
        <n v="6609714"/>
        <n v="6053649"/>
        <n v="6876454.5"/>
        <n v="1054798.5"/>
        <n v="1455049.5"/>
        <n v="1007742"/>
        <n v="734335.5"/>
        <n v="7387116"/>
        <n v="936427.5"/>
        <n v="981564"/>
        <n v="1150579.5"/>
        <n v="1273464"/>
        <n v="2924133"/>
        <n v="3414180"/>
        <n v="3013512"/>
        <n v="3911979"/>
        <n v="2588148"/>
        <n v="2441520"/>
        <n v="2949078"/>
        <n v="3258054"/>
        <n v="29256993"/>
        <n v="29465769"/>
        <n v="27770092.5"/>
        <n v="24628233.22395"/>
        <n v="27535284.1476"/>
        <n v="28181292"/>
        <n v="32354331"/>
        <n v="39034861.5"/>
        <n v="39498373.5"/>
        <n v="37257840.18135"/>
        <n v="33781581"/>
        <n v="41767140.105"/>
        <n v="36876888"/>
        <n v="37963150.5"/>
        <n v="42271377"/>
        <n v="5985894"/>
        <n v="5943489"/>
        <n v="5800290"/>
        <n v="5178169.5"/>
        <n v="54172029"/>
        <n v="5798476.5"/>
        <n v="5366602.5"/>
        <n v="6293952"/>
        <n v="3780852"/>
        <n v="4840833"/>
        <n v="3865251"/>
        <n v="3079630.5"/>
        <n v="7228395"/>
        <n v="3360135"/>
        <n v="3166479"/>
        <n v="3772258.5"/>
        <n v="4108596"/>
        <n v="1603084.5"/>
        <n v="1774329"/>
        <n v="1526608.5"/>
        <n v="1096002"/>
        <n v="1246162.5"/>
        <n v="1223491.5"/>
        <n v="1370482.5"/>
        <n v="1211457"/>
        <n v="1411909.5"/>
        <n v="1565632.5"/>
        <n v="1081158"/>
        <n v="1764669"/>
        <n v="1115146.5"/>
        <n v="963502.5"/>
        <n v="1122730.5"/>
        <n v="2458555.5"/>
        <n v="2540715"/>
        <n v="2538967.5"/>
        <n v="2164365"/>
        <n v="1549020"/>
        <n v="2324490"/>
        <n v="2225341.5"/>
        <n v="2477487"/>
        <n v="2854741.5"/>
        <n v="22342300.5"/>
        <n v="22380772.5"/>
        <n v="19465372.5"/>
        <n v="17919144"/>
        <n v="20422435.5"/>
        <n v="19942435.5"/>
        <n v="23085222"/>
        <n v="20953324.5"/>
        <n v="20812585.5"/>
        <n v="18914194.5"/>
        <n v="16971231"/>
        <n v="23120443.5"/>
        <n v="19855122"/>
        <n v="18640998"/>
        <n v="21895294.5"/>
        <n v="22416151.5"/>
        <n v="687684"/>
        <n v="1398771"/>
        <n v="389013"/>
        <n v="880356"/>
        <n v="1230711"/>
        <n v="1131676.5"/>
        <n v="1091040"/>
        <n v="1350199.5"/>
        <n v="410892"/>
        <n v="850840.5"/>
        <n v="802447.5"/>
        <n v="1438255.5"/>
        <n v="1293219"/>
      </sharedItems>
    </cacheField>
    <cacheField name="Количество складов" numFmtId="0">
      <sharedItems containsSemiMixedTypes="0" containsString="0" containsNumber="1" containsInteger="1" minValue="0" maxValue="128" count="14">
        <n v="15"/>
        <n v="18"/>
        <n v="31"/>
        <n v="10"/>
        <n v="17"/>
        <n v="128"/>
        <n v="125"/>
        <n v="36"/>
        <n v="19"/>
        <n v="59"/>
        <n v="54"/>
        <n v="7"/>
        <n v="9"/>
        <n v="6"/>
      </sharedItems>
    </cacheField>
    <cacheField name="Количество заказов" numFmtId="0">
      <sharedItems containsSemiMixedTypes="0" containsString="0" containsNumber="1" containsInteger="1" minValue="0" maxValue="20914" count="18">
        <n v="464"/>
        <n v="1539"/>
        <n v="5465"/>
        <n v="580"/>
        <n v="1439"/>
        <n v="16450"/>
        <n v="20914"/>
        <n v="4923"/>
        <n v="1846"/>
        <n v="780"/>
        <n v="262"/>
        <n v="1505"/>
        <n v="12943"/>
        <n v="12306"/>
        <n v="636"/>
        <n v="577"/>
        <n v="345"/>
        <n v="261"/>
      </sharedItems>
    </cacheField>
    <cacheField name="Количество клиентов" numFmtId="0">
      <sharedItems containsSemiMixedTypes="0" containsString="0" containsNumber="1" containsInteger="1" minValue="0" maxValue="19479" count="18">
        <n v="390"/>
        <n v="1404"/>
        <n v="5096"/>
        <n v="506"/>
        <n v="1265"/>
        <n v="15320"/>
        <n v="19479"/>
        <n v="4560"/>
        <n v="1681"/>
        <n v="690"/>
        <n v="195"/>
        <n v="1368"/>
        <n v="12072"/>
        <n v="11532"/>
        <n v="547"/>
        <n v="389"/>
        <n v="255"/>
        <n v="188"/>
      </sharedItems>
    </cacheField>
    <cacheField name="Товарооборот на склад" numFmtId="0">
      <sharedItems containsSemiMixedTypes="0" containsString="0" containsNumber="1" minValue="0" maxValue="496419" count="504">
        <n v="41598.1"/>
        <n v="52473.4"/>
        <n v="42929.6"/>
        <n v="188660.666666667"/>
        <n v="153950.916666667"/>
        <n v="160136.583333333"/>
        <n v="157278.833333333"/>
        <n v="131795"/>
        <n v="145748.916666667"/>
        <n v="150624.833333333"/>
        <n v="165018.333333333"/>
        <n v="168403"/>
        <n v="144209.916666667"/>
        <n v="152465.666666667"/>
        <n v="162740.583333333"/>
        <n v="161486.833333333"/>
        <n v="133977.083333333"/>
        <n v="146099"/>
        <n v="135273"/>
        <n v="163256.833333333"/>
        <n v="201595.916666667"/>
        <n v="176476.666666667"/>
        <n v="156510.916666667"/>
        <n v="184053.75"/>
        <n v="146953.333333333"/>
        <n v="137345.166666667"/>
        <n v="162485.916666667"/>
        <n v="192994.166666667"/>
        <n v="217876.916666667"/>
        <n v="157098.5"/>
        <n v="244637.370967742"/>
        <n v="219855.193548387"/>
        <n v="218546.661290323"/>
        <n v="202094.612903226"/>
        <n v="214266.096774194"/>
        <n v="231628.983870968"/>
        <n v="179167.5"/>
        <n v="215369.661290323"/>
        <n v="286871.758064516"/>
        <n v="206398.741935484"/>
        <n v="213995.080645161"/>
        <n v="233792.758064516"/>
        <n v="223268.274193548"/>
        <n v="231085.306451613"/>
        <n v="225611.370967742"/>
        <n v="226247.419354839"/>
        <n v="198988.935483871"/>
        <n v="260940.096774194"/>
        <n v="214374.290322581"/>
        <n v="226571.85483871"/>
        <n v="241393.35483871"/>
        <n v="203025.048387097"/>
        <n v="212641.403225806"/>
        <n v="208097.806451613"/>
        <n v="113050.65"/>
        <n v="93876.45"/>
        <n v="84372.75"/>
        <n v="104640"/>
        <n v="72889.05"/>
        <n v="79791.9"/>
        <n v="61788.15"/>
        <n v="98310.9"/>
        <n v="89113.95"/>
        <n v="73296.45"/>
        <n v="93552.3"/>
        <n v="103724.7"/>
        <n v="79332"/>
        <n v="86998.35"/>
        <n v="86571.45"/>
        <n v="242343.435483871"/>
        <n v="63788.1"/>
        <n v="295635.725806452"/>
        <n v="69683.25"/>
        <n v="124138.35"/>
        <n v="214244.177419355"/>
        <n v="103044"/>
        <n v="71619.6"/>
        <n v="100478.85"/>
        <n v="95970.3"/>
        <n v="86375.4"/>
        <n v="82898.4"/>
        <n v="104551.5"/>
        <n v="126048.3"/>
        <n v="111455.25"/>
        <n v="189559.852941176"/>
        <n v="168549.264705882"/>
        <n v="158487.617647059"/>
        <n v="170715.705882353"/>
        <n v="144174.617647059"/>
        <n v="141034.588235294"/>
        <n v="105837.088235294"/>
        <n v="171024.176470588"/>
        <n v="139668"/>
        <n v="139437.176470588"/>
        <n v="167834.205882353"/>
        <n v="158366.470588235"/>
        <n v="122347.058823529"/>
        <n v="125695.147058824"/>
        <n v="139608.088235294"/>
        <n v="127665.264705882"/>
        <n v="131324.647058824"/>
        <n v="199139.558823529"/>
        <n v="168572.205882353"/>
        <n v="133392"/>
        <n v="168370.5"/>
        <n v="133614.970588235"/>
        <n v="138274.852941176"/>
        <n v="171501.970588235"/>
        <n v="175999.941176471"/>
        <n v="214950.970588235"/>
        <n v="176718.441176471"/>
        <n v="251842.6875"/>
        <n v="211668.9375"/>
        <n v="208280.70703125"/>
        <n v="232564.0546875"/>
        <n v="229358.90625"/>
        <n v="241166.30859375"/>
        <n v="190172.00390625"/>
        <n v="217754.827334766"/>
        <n v="242604.03515625"/>
        <n v="226894.6875"/>
        <n v="217600.78125"/>
        <n v="229443.528261328"/>
        <n v="213112.821445313"/>
        <n v="227804.94140625"/>
        <n v="206776.98046875"/>
        <n v="222085.9453125"/>
        <n v="224771.95395"/>
        <n v="274249.427433984"/>
        <n v="212233.69921875"/>
        <n v="253272.4921875"/>
        <n v="230751.375828516"/>
        <n v="297590.28515625"/>
        <n v="197853.6796875"/>
        <n v="220222.921875"/>
        <n v="338589.048"/>
        <n v="296185.944"/>
        <n v="294676.536"/>
        <n v="309547.416"/>
        <n v="307255.632"/>
        <n v="332475.072"/>
        <n v="254749.896"/>
        <n v="306927.684"/>
        <n v="320617.548"/>
        <n v="316628.616"/>
        <n v="303217.25256"/>
        <n v="317114.472"/>
        <n v="285373.872"/>
        <n v="319344.228"/>
        <n v="297576.924"/>
        <n v="229123.171875"/>
        <n v="293055.996"/>
        <n v="279097.60546875"/>
        <n v="304738.752"/>
        <n v="371264.64"/>
        <n v="219929.724609375"/>
        <n v="295067.424"/>
        <n v="344229.876"/>
        <n v="312087"/>
        <n v="392985.444"/>
        <n v="270111.912"/>
        <n v="305531.052"/>
        <n v="184782.75"/>
        <n v="171485.083333333"/>
        <n v="165355.625"/>
        <n v="201484.083333333"/>
        <n v="154484.791666667"/>
        <n v="179290.5"/>
        <n v="114395.875"/>
        <n v="162916.375"/>
        <n v="195339.583333333"/>
        <n v="153420.708333333"/>
        <n v="162891.25"/>
        <n v="197831.833333333"/>
        <n v="160292.75"/>
        <n v="174673.5"/>
        <n v="175939.666666667"/>
        <n v="315041.424"/>
        <n v="172814.458333333"/>
        <n v="370967.232"/>
        <n v="151503.375"/>
        <n v="199253.25"/>
        <n v="303581.508"/>
        <n v="158462.5"/>
        <n v="189433.166666667"/>
        <n v="214613.041666667"/>
        <n v="149047.458333333"/>
        <n v="171551.041666667"/>
        <n v="169395.458333333"/>
        <n v="211849.894736842"/>
        <n v="186996.710526316"/>
        <n v="167955.552631579"/>
        <n v="162362.763157895"/>
        <n v="148308.078947368"/>
        <n v="138294.473684211"/>
        <n v="130024.5"/>
        <n v="194753.210526316"/>
        <n v="225960.078947368"/>
        <n v="162137.605263158"/>
        <n v="200547.078947368"/>
        <n v="206262.473684211"/>
        <n v="139404.631578947"/>
        <n v="150715.815789474"/>
        <n v="173056.263157895"/>
        <n v="180579.125"/>
        <n v="143158.026315789"/>
        <n v="252732.958333333"/>
        <n v="144111.947368421"/>
        <n v="204379.736842105"/>
        <n v="169498.083333333"/>
        <n v="187455.552631579"/>
        <n v="150174.236842105"/>
        <n v="186794.605263158"/>
        <n v="168492.552631579"/>
        <n v="154447.578947368"/>
        <n v="181542.236842105"/>
        <n v="210218.605263158"/>
        <n v="234549.552631579"/>
        <n v="204930.552631579"/>
        <n v="106761.7"/>
        <n v="90989.8"/>
        <n v="91838.5"/>
        <n v="81528.8"/>
        <n v="72347.4"/>
        <n v="74399.5"/>
        <n v="70214.7"/>
        <n v="99275.5"/>
        <n v="97722.8"/>
        <n v="74922"/>
        <n v="92050.1"/>
        <n v="95350.3"/>
        <n v="92278.6"/>
        <n v="73525.8"/>
        <n v="82900.5"/>
        <n v="74667.3"/>
        <n v="81403.8"/>
        <n v="123600.1"/>
        <n v="100524.5"/>
        <n v="73537.9"/>
        <n v="98102.5"/>
        <n v="84652.4"/>
        <n v="74926.3"/>
        <n v="103206.6"/>
        <n v="81002.2"/>
        <n v="93536.5"/>
        <n v="70699.3"/>
        <n v="72081.1"/>
        <n v="40723.7"/>
        <n v="131161.916666667"/>
        <n v="28882.9"/>
        <n v="76803.6"/>
        <n v="33704.8"/>
        <n v="65975.5"/>
        <n v="73574.9"/>
        <n v="73657.2"/>
        <n v="46306.2"/>
        <n v="126504"/>
        <n v="63327.5"/>
        <n v="106141.3"/>
        <n v="44353.5"/>
        <n v="163816.8"/>
        <n v="49286.1"/>
        <n v="87671.7"/>
        <n v="99195.2"/>
        <n v="82045.8"/>
        <n v="26979.4"/>
        <n v="79885.7"/>
        <n v="53250.6"/>
        <n v="51285.1"/>
        <n v="78991"/>
        <n v="162382.416666667"/>
        <n v="135918.333333333"/>
        <n v="135312.916666667"/>
        <n v="132496.5"/>
        <n v="119759.333333333"/>
        <n v="93491.75"/>
        <n v="133933.5"/>
        <n v="176028.333333333"/>
        <n v="124620"/>
        <n v="122163.083333333"/>
        <n v="140042.166666667"/>
        <n v="132240.75"/>
        <n v="125758.416666667"/>
        <n v="89119.3"/>
        <n v="105919.833333333"/>
        <n v="107272.7"/>
        <n v="119963.916666667"/>
        <n v="171618.916666667"/>
        <n v="82649.8"/>
        <n v="139600.166666667"/>
        <n v="142226.666666667"/>
        <n v="153737.25"/>
        <n v="124220"/>
        <n v="128240.916666667"/>
        <n v="140383.833333333"/>
        <n v="366361.576271186"/>
        <n v="357879.63559322"/>
        <n v="155240.25"/>
        <n v="166963"/>
        <n v="142178.416666667"/>
        <n v="401514.966101695"/>
        <n v="371963.694915254"/>
        <n v="331294.677966102"/>
        <n v="325739.516949153"/>
        <n v="411732.508474576"/>
        <n v="386507.25"/>
        <n v="332633.288135593"/>
        <n v="426498.838983051"/>
        <n v="430734.762711864"/>
        <n v="325511.516949153"/>
        <n v="377174.491525424"/>
        <n v="372191.288135593"/>
        <n v="371515.855932203"/>
        <n v="370430.805555556"/>
        <n v="329445.305084746"/>
        <n v="449021.669491525"/>
        <n v="390389.694915254"/>
        <n v="484591.703389831"/>
        <n v="348860.059322034"/>
        <n v="381864.406779661"/>
        <n v="421871.262711864"/>
        <n v="404778.788135593"/>
        <n v="380680.169491525"/>
        <n v="338301.711864407"/>
        <n v="413987.75"/>
        <n v="381297.638888889"/>
        <n v="341649.833333333"/>
        <n v="334922.194444444"/>
        <n v="422163.472222222"/>
        <n v="344924.472222222"/>
        <n v="441784.166666667"/>
        <n v="443584"/>
        <n v="346630.305555556"/>
        <n v="389679.138888889"/>
        <n v="396506.472222222"/>
        <n v="386669.305555556"/>
        <n v="347851.861111111"/>
        <n v="365852.822033898"/>
        <n v="472575.416666667"/>
        <n v="415716.025423729"/>
        <n v="409748.972222222"/>
        <n v="496419"/>
        <n v="348063.279661017"/>
        <n v="366794.944444444"/>
        <n v="402601.111111111"/>
        <n v="434143.055555556"/>
        <n v="423075.527777778"/>
        <n v="397463.388888889"/>
        <n v="353168.833333333"/>
        <n v="65434.6"/>
        <n v="66169.4"/>
        <n v="383652.75"/>
        <n v="447258.888888889"/>
        <n v="362019.194444444"/>
        <n v="87756.7"/>
        <n v="75120.7"/>
        <n v="77168.6"/>
        <n v="63720.1"/>
        <n v="60422.9"/>
        <n v="54457.3"/>
        <n v="119116.5"/>
        <n v="75629.6"/>
        <n v="72818.5"/>
        <n v="78171.6"/>
        <n v="81183.3"/>
        <n v="76371.7"/>
        <n v="78179.4"/>
        <n v="54410"/>
        <n v="67771.1"/>
        <n v="97159.4"/>
        <n v="88447"/>
        <n v="66967.4"/>
        <n v="81103.8"/>
        <n v="69789.9"/>
        <n v="64392"/>
        <n v="92417.5"/>
        <n v="80697.1"/>
        <n v="42423"/>
        <n v="54877"/>
        <n v="132667.928571429"/>
        <n v="43415.8"/>
        <n v="99238.5"/>
        <n v="167541.75"/>
        <n v="171726.083333333"/>
        <n v="78139.25"/>
        <n v="137744.25"/>
        <n v="118210.3"/>
        <n v="92496.2"/>
        <n v="157021.083333333"/>
        <n v="150174"/>
        <n v="168794.083333333"/>
        <n v="163613.083333333"/>
        <n v="123717.642857143"/>
        <n v="177398.166666667"/>
        <n v="216163.983870968"/>
        <n v="249305.322580645"/>
        <n v="220320.048387097"/>
        <n v="94894"/>
        <n v="206410.306451613"/>
        <n v="213216.580645161"/>
        <n v="195279"/>
        <n v="221821.112903226"/>
        <n v="105479.85"/>
        <n v="145504.95"/>
        <n v="100774.2"/>
        <n v="73433.55"/>
        <n v="238294.064516129"/>
        <n v="93642.75"/>
        <n v="98156.4"/>
        <n v="115057.95"/>
        <n v="127346.4"/>
        <n v="172007.823529412"/>
        <n v="200834.117647059"/>
        <n v="177265.411764706"/>
        <n v="230116.411764706"/>
        <n v="152244"/>
        <n v="143618.823529412"/>
        <n v="173475.176470588"/>
        <n v="191650.235294118"/>
        <n v="228570.2578125"/>
        <n v="230201.3203125"/>
        <n v="216953.84765625"/>
        <n v="192408.072062109"/>
        <n v="215119.407403125"/>
        <n v="220166.34375"/>
        <n v="252768.2109375"/>
        <n v="312278.892"/>
        <n v="315986.988"/>
        <n v="298062.7214508"/>
        <n v="270252.648"/>
        <n v="326305.782070313"/>
        <n v="295015.104"/>
        <n v="303705.204"/>
        <n v="338171.016"/>
        <n v="166274.833333333"/>
        <n v="165096.916666667"/>
        <n v="161119.166666667"/>
        <n v="143838.041666667"/>
        <n v="433376.232"/>
        <n v="161068.791666667"/>
        <n v="149072.291666667"/>
        <n v="174832"/>
        <n v="198992.210526316"/>
        <n v="254780.684210526"/>
        <n v="203434.263157895"/>
        <n v="162085.815789474"/>
        <n v="200788.75"/>
        <n v="176849.210526316"/>
        <n v="166656.789473684"/>
        <n v="198539.921052632"/>
        <n v="216241.894736842"/>
        <n v="106872.3"/>
        <n v="118288.6"/>
        <n v="101773.9"/>
        <n v="73066.8"/>
        <n v="83077.5"/>
        <n v="81566.1"/>
        <n v="91365.5"/>
        <n v="80763.8"/>
        <n v="94127.3"/>
        <n v="104375.5"/>
        <n v="72077.2"/>
        <n v="117644.6"/>
        <n v="74343.1"/>
        <n v="64233.5"/>
        <n v="74848.7"/>
        <n v="136586.416666667"/>
        <n v="141150.833333333"/>
        <n v="141053.75"/>
        <n v="120242.5"/>
        <n v="103268"/>
        <n v="129138.333333333"/>
        <n v="123630.083333333"/>
        <n v="137638.166666667"/>
        <n v="158596.75"/>
        <n v="378683.059322034"/>
        <n v="379335.127118644"/>
        <n v="329921.56779661"/>
        <n v="303714.305084746"/>
        <n v="346142.974576271"/>
        <n v="338007.381355932"/>
        <n v="391274.949152542"/>
        <n v="388024.527777778"/>
        <n v="385418.25"/>
        <n v="350262.861111111"/>
        <n v="314282.055555556"/>
        <n v="391871.923728814"/>
        <n v="367687.444444444"/>
        <n v="345203.666666667"/>
        <n v="405468.416666667"/>
        <n v="415113.916666667"/>
        <n v="98240.5714285714"/>
        <n v="93251.4"/>
        <n v="43223.6666666667"/>
        <n v="58690.4"/>
        <n v="82047.4"/>
        <n v="75445.1"/>
        <n v="72736"/>
        <n v="90013.3"/>
        <n v="68482"/>
        <n v="121548.642857143"/>
        <n v="114635.357142857"/>
        <n v="95883.7"/>
        <n v="86214.6"/>
      </sharedItems>
    </cacheField>
    <cacheField name="Неделя" numFmtId="0">
      <sharedItems containsSemiMixedTypes="0" containsString="0" containsNumber="1" containsInteger="1" minValue="0" maxValue="23" count="6">
        <n v="22"/>
        <n v="20"/>
        <n v="21"/>
        <n v="19"/>
        <n v="18"/>
        <n v="23"/>
      </sharedItems>
    </cacheField>
    <cacheField name="Доля в общем товарообороте" numFmtId="0" formula="'Товарооборот, руб'/СУММ('Товарооборот, руб')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4">
  <r>
    <x v="0"/>
    <x v="0"/>
    <x v="0"/>
    <x v="0"/>
    <x v="0"/>
    <x v="0"/>
    <x v="0"/>
    <x v="0"/>
    <x v="0"/>
  </r>
  <r>
    <x v="1"/>
    <x v="0"/>
    <x v="1"/>
    <x v="1"/>
    <x v="0"/>
    <x v="0"/>
    <x v="0"/>
    <x v="1"/>
    <x v="0"/>
  </r>
  <r>
    <x v="2"/>
    <x v="0"/>
    <x v="2"/>
    <x v="2"/>
    <x v="0"/>
    <x v="0"/>
    <x v="0"/>
    <x v="2"/>
    <x v="0"/>
  </r>
  <r>
    <x v="3"/>
    <x v="1"/>
    <x v="3"/>
    <x v="3"/>
    <x v="1"/>
    <x v="1"/>
    <x v="1"/>
    <x v="3"/>
    <x v="1"/>
  </r>
  <r>
    <x v="4"/>
    <x v="1"/>
    <x v="4"/>
    <x v="4"/>
    <x v="1"/>
    <x v="1"/>
    <x v="1"/>
    <x v="4"/>
    <x v="2"/>
  </r>
  <r>
    <x v="5"/>
    <x v="1"/>
    <x v="5"/>
    <x v="5"/>
    <x v="1"/>
    <x v="1"/>
    <x v="1"/>
    <x v="5"/>
    <x v="1"/>
  </r>
  <r>
    <x v="6"/>
    <x v="1"/>
    <x v="6"/>
    <x v="6"/>
    <x v="1"/>
    <x v="1"/>
    <x v="1"/>
    <x v="6"/>
    <x v="3"/>
  </r>
  <r>
    <x v="7"/>
    <x v="1"/>
    <x v="7"/>
    <x v="7"/>
    <x v="1"/>
    <x v="1"/>
    <x v="1"/>
    <x v="7"/>
    <x v="3"/>
  </r>
  <r>
    <x v="8"/>
    <x v="1"/>
    <x v="8"/>
    <x v="8"/>
    <x v="1"/>
    <x v="1"/>
    <x v="1"/>
    <x v="8"/>
    <x v="4"/>
  </r>
  <r>
    <x v="9"/>
    <x v="1"/>
    <x v="9"/>
    <x v="9"/>
    <x v="1"/>
    <x v="1"/>
    <x v="1"/>
    <x v="9"/>
    <x v="4"/>
  </r>
  <r>
    <x v="10"/>
    <x v="1"/>
    <x v="10"/>
    <x v="10"/>
    <x v="1"/>
    <x v="1"/>
    <x v="1"/>
    <x v="10"/>
    <x v="0"/>
  </r>
  <r>
    <x v="11"/>
    <x v="1"/>
    <x v="11"/>
    <x v="11"/>
    <x v="1"/>
    <x v="1"/>
    <x v="1"/>
    <x v="11"/>
    <x v="4"/>
  </r>
  <r>
    <x v="12"/>
    <x v="1"/>
    <x v="12"/>
    <x v="12"/>
    <x v="1"/>
    <x v="1"/>
    <x v="1"/>
    <x v="12"/>
    <x v="1"/>
  </r>
  <r>
    <x v="13"/>
    <x v="1"/>
    <x v="13"/>
    <x v="13"/>
    <x v="1"/>
    <x v="1"/>
    <x v="1"/>
    <x v="13"/>
    <x v="2"/>
  </r>
  <r>
    <x v="14"/>
    <x v="1"/>
    <x v="14"/>
    <x v="14"/>
    <x v="1"/>
    <x v="1"/>
    <x v="1"/>
    <x v="14"/>
    <x v="2"/>
  </r>
  <r>
    <x v="15"/>
    <x v="1"/>
    <x v="15"/>
    <x v="15"/>
    <x v="1"/>
    <x v="1"/>
    <x v="1"/>
    <x v="15"/>
    <x v="3"/>
  </r>
  <r>
    <x v="16"/>
    <x v="1"/>
    <x v="16"/>
    <x v="16"/>
    <x v="1"/>
    <x v="1"/>
    <x v="1"/>
    <x v="16"/>
    <x v="4"/>
  </r>
  <r>
    <x v="17"/>
    <x v="1"/>
    <x v="17"/>
    <x v="17"/>
    <x v="1"/>
    <x v="1"/>
    <x v="1"/>
    <x v="17"/>
    <x v="1"/>
  </r>
  <r>
    <x v="18"/>
    <x v="1"/>
    <x v="18"/>
    <x v="18"/>
    <x v="1"/>
    <x v="1"/>
    <x v="1"/>
    <x v="18"/>
    <x v="4"/>
  </r>
  <r>
    <x v="19"/>
    <x v="1"/>
    <x v="19"/>
    <x v="19"/>
    <x v="1"/>
    <x v="1"/>
    <x v="1"/>
    <x v="19"/>
    <x v="3"/>
  </r>
  <r>
    <x v="20"/>
    <x v="1"/>
    <x v="20"/>
    <x v="20"/>
    <x v="1"/>
    <x v="1"/>
    <x v="1"/>
    <x v="20"/>
    <x v="2"/>
  </r>
  <r>
    <x v="21"/>
    <x v="1"/>
    <x v="21"/>
    <x v="21"/>
    <x v="1"/>
    <x v="1"/>
    <x v="1"/>
    <x v="21"/>
    <x v="0"/>
  </r>
  <r>
    <x v="22"/>
    <x v="1"/>
    <x v="22"/>
    <x v="22"/>
    <x v="1"/>
    <x v="1"/>
    <x v="1"/>
    <x v="22"/>
    <x v="4"/>
  </r>
  <r>
    <x v="23"/>
    <x v="1"/>
    <x v="23"/>
    <x v="23"/>
    <x v="1"/>
    <x v="1"/>
    <x v="1"/>
    <x v="23"/>
    <x v="3"/>
  </r>
  <r>
    <x v="24"/>
    <x v="1"/>
    <x v="24"/>
    <x v="24"/>
    <x v="1"/>
    <x v="1"/>
    <x v="1"/>
    <x v="24"/>
    <x v="3"/>
  </r>
  <r>
    <x v="25"/>
    <x v="1"/>
    <x v="25"/>
    <x v="25"/>
    <x v="1"/>
    <x v="1"/>
    <x v="1"/>
    <x v="25"/>
    <x v="3"/>
  </r>
  <r>
    <x v="26"/>
    <x v="1"/>
    <x v="26"/>
    <x v="26"/>
    <x v="1"/>
    <x v="1"/>
    <x v="1"/>
    <x v="26"/>
    <x v="2"/>
  </r>
  <r>
    <x v="0"/>
    <x v="1"/>
    <x v="27"/>
    <x v="27"/>
    <x v="1"/>
    <x v="1"/>
    <x v="1"/>
    <x v="27"/>
    <x v="0"/>
  </r>
  <r>
    <x v="1"/>
    <x v="1"/>
    <x v="28"/>
    <x v="28"/>
    <x v="1"/>
    <x v="1"/>
    <x v="1"/>
    <x v="28"/>
    <x v="0"/>
  </r>
  <r>
    <x v="2"/>
    <x v="1"/>
    <x v="29"/>
    <x v="29"/>
    <x v="1"/>
    <x v="1"/>
    <x v="1"/>
    <x v="29"/>
    <x v="0"/>
  </r>
  <r>
    <x v="3"/>
    <x v="2"/>
    <x v="30"/>
    <x v="30"/>
    <x v="2"/>
    <x v="2"/>
    <x v="2"/>
    <x v="30"/>
    <x v="1"/>
  </r>
  <r>
    <x v="4"/>
    <x v="2"/>
    <x v="31"/>
    <x v="31"/>
    <x v="2"/>
    <x v="2"/>
    <x v="2"/>
    <x v="31"/>
    <x v="2"/>
  </r>
  <r>
    <x v="5"/>
    <x v="2"/>
    <x v="32"/>
    <x v="32"/>
    <x v="2"/>
    <x v="2"/>
    <x v="2"/>
    <x v="32"/>
    <x v="1"/>
  </r>
  <r>
    <x v="6"/>
    <x v="2"/>
    <x v="33"/>
    <x v="33"/>
    <x v="2"/>
    <x v="2"/>
    <x v="2"/>
    <x v="33"/>
    <x v="3"/>
  </r>
  <r>
    <x v="7"/>
    <x v="2"/>
    <x v="34"/>
    <x v="34"/>
    <x v="2"/>
    <x v="2"/>
    <x v="2"/>
    <x v="34"/>
    <x v="3"/>
  </r>
  <r>
    <x v="8"/>
    <x v="2"/>
    <x v="35"/>
    <x v="35"/>
    <x v="2"/>
    <x v="2"/>
    <x v="2"/>
    <x v="35"/>
    <x v="4"/>
  </r>
  <r>
    <x v="9"/>
    <x v="2"/>
    <x v="36"/>
    <x v="36"/>
    <x v="2"/>
    <x v="2"/>
    <x v="2"/>
    <x v="36"/>
    <x v="4"/>
  </r>
  <r>
    <x v="10"/>
    <x v="2"/>
    <x v="37"/>
    <x v="37"/>
    <x v="2"/>
    <x v="2"/>
    <x v="2"/>
    <x v="37"/>
    <x v="0"/>
  </r>
  <r>
    <x v="11"/>
    <x v="2"/>
    <x v="38"/>
    <x v="38"/>
    <x v="2"/>
    <x v="2"/>
    <x v="2"/>
    <x v="38"/>
    <x v="4"/>
  </r>
  <r>
    <x v="12"/>
    <x v="2"/>
    <x v="39"/>
    <x v="39"/>
    <x v="2"/>
    <x v="2"/>
    <x v="2"/>
    <x v="39"/>
    <x v="1"/>
  </r>
  <r>
    <x v="13"/>
    <x v="2"/>
    <x v="40"/>
    <x v="40"/>
    <x v="2"/>
    <x v="2"/>
    <x v="2"/>
    <x v="40"/>
    <x v="2"/>
  </r>
  <r>
    <x v="14"/>
    <x v="2"/>
    <x v="41"/>
    <x v="41"/>
    <x v="2"/>
    <x v="2"/>
    <x v="2"/>
    <x v="41"/>
    <x v="2"/>
  </r>
  <r>
    <x v="15"/>
    <x v="2"/>
    <x v="42"/>
    <x v="42"/>
    <x v="2"/>
    <x v="2"/>
    <x v="2"/>
    <x v="42"/>
    <x v="3"/>
  </r>
  <r>
    <x v="16"/>
    <x v="2"/>
    <x v="43"/>
    <x v="43"/>
    <x v="2"/>
    <x v="2"/>
    <x v="2"/>
    <x v="43"/>
    <x v="4"/>
  </r>
  <r>
    <x v="17"/>
    <x v="2"/>
    <x v="44"/>
    <x v="44"/>
    <x v="2"/>
    <x v="2"/>
    <x v="2"/>
    <x v="44"/>
    <x v="1"/>
  </r>
  <r>
    <x v="18"/>
    <x v="2"/>
    <x v="45"/>
    <x v="45"/>
    <x v="2"/>
    <x v="2"/>
    <x v="2"/>
    <x v="45"/>
    <x v="4"/>
  </r>
  <r>
    <x v="19"/>
    <x v="2"/>
    <x v="46"/>
    <x v="46"/>
    <x v="2"/>
    <x v="2"/>
    <x v="2"/>
    <x v="46"/>
    <x v="3"/>
  </r>
  <r>
    <x v="20"/>
    <x v="2"/>
    <x v="47"/>
    <x v="47"/>
    <x v="2"/>
    <x v="2"/>
    <x v="2"/>
    <x v="47"/>
    <x v="2"/>
  </r>
  <r>
    <x v="21"/>
    <x v="2"/>
    <x v="48"/>
    <x v="48"/>
    <x v="2"/>
    <x v="2"/>
    <x v="2"/>
    <x v="48"/>
    <x v="0"/>
  </r>
  <r>
    <x v="22"/>
    <x v="2"/>
    <x v="49"/>
    <x v="49"/>
    <x v="2"/>
    <x v="2"/>
    <x v="2"/>
    <x v="49"/>
    <x v="4"/>
  </r>
  <r>
    <x v="23"/>
    <x v="2"/>
    <x v="50"/>
    <x v="50"/>
    <x v="2"/>
    <x v="2"/>
    <x v="2"/>
    <x v="50"/>
    <x v="3"/>
  </r>
  <r>
    <x v="24"/>
    <x v="2"/>
    <x v="51"/>
    <x v="51"/>
    <x v="2"/>
    <x v="2"/>
    <x v="2"/>
    <x v="51"/>
    <x v="3"/>
  </r>
  <r>
    <x v="25"/>
    <x v="2"/>
    <x v="52"/>
    <x v="52"/>
    <x v="2"/>
    <x v="2"/>
    <x v="2"/>
    <x v="52"/>
    <x v="3"/>
  </r>
  <r>
    <x v="26"/>
    <x v="2"/>
    <x v="53"/>
    <x v="53"/>
    <x v="2"/>
    <x v="2"/>
    <x v="2"/>
    <x v="53"/>
    <x v="2"/>
  </r>
  <r>
    <x v="3"/>
    <x v="3"/>
    <x v="54"/>
    <x v="54"/>
    <x v="3"/>
    <x v="3"/>
    <x v="3"/>
    <x v="54"/>
    <x v="1"/>
  </r>
  <r>
    <x v="4"/>
    <x v="3"/>
    <x v="55"/>
    <x v="55"/>
    <x v="3"/>
    <x v="3"/>
    <x v="3"/>
    <x v="55"/>
    <x v="2"/>
  </r>
  <r>
    <x v="5"/>
    <x v="3"/>
    <x v="56"/>
    <x v="56"/>
    <x v="3"/>
    <x v="3"/>
    <x v="3"/>
    <x v="56"/>
    <x v="1"/>
  </r>
  <r>
    <x v="6"/>
    <x v="3"/>
    <x v="57"/>
    <x v="57"/>
    <x v="3"/>
    <x v="3"/>
    <x v="3"/>
    <x v="57"/>
    <x v="3"/>
  </r>
  <r>
    <x v="7"/>
    <x v="3"/>
    <x v="58"/>
    <x v="58"/>
    <x v="3"/>
    <x v="3"/>
    <x v="3"/>
    <x v="58"/>
    <x v="3"/>
  </r>
  <r>
    <x v="8"/>
    <x v="3"/>
    <x v="59"/>
    <x v="59"/>
    <x v="3"/>
    <x v="3"/>
    <x v="3"/>
    <x v="59"/>
    <x v="4"/>
  </r>
  <r>
    <x v="9"/>
    <x v="3"/>
    <x v="60"/>
    <x v="60"/>
    <x v="3"/>
    <x v="3"/>
    <x v="3"/>
    <x v="60"/>
    <x v="4"/>
  </r>
  <r>
    <x v="10"/>
    <x v="3"/>
    <x v="61"/>
    <x v="61"/>
    <x v="3"/>
    <x v="3"/>
    <x v="3"/>
    <x v="61"/>
    <x v="0"/>
  </r>
  <r>
    <x v="11"/>
    <x v="3"/>
    <x v="62"/>
    <x v="62"/>
    <x v="3"/>
    <x v="3"/>
    <x v="3"/>
    <x v="62"/>
    <x v="4"/>
  </r>
  <r>
    <x v="12"/>
    <x v="3"/>
    <x v="63"/>
    <x v="63"/>
    <x v="3"/>
    <x v="3"/>
    <x v="3"/>
    <x v="63"/>
    <x v="1"/>
  </r>
  <r>
    <x v="13"/>
    <x v="3"/>
    <x v="64"/>
    <x v="64"/>
    <x v="3"/>
    <x v="3"/>
    <x v="3"/>
    <x v="64"/>
    <x v="2"/>
  </r>
  <r>
    <x v="14"/>
    <x v="3"/>
    <x v="65"/>
    <x v="65"/>
    <x v="3"/>
    <x v="3"/>
    <x v="3"/>
    <x v="65"/>
    <x v="2"/>
  </r>
  <r>
    <x v="15"/>
    <x v="3"/>
    <x v="66"/>
    <x v="66"/>
    <x v="3"/>
    <x v="3"/>
    <x v="3"/>
    <x v="66"/>
    <x v="3"/>
  </r>
  <r>
    <x v="16"/>
    <x v="3"/>
    <x v="67"/>
    <x v="67"/>
    <x v="3"/>
    <x v="3"/>
    <x v="3"/>
    <x v="67"/>
    <x v="4"/>
  </r>
  <r>
    <x v="17"/>
    <x v="3"/>
    <x v="68"/>
    <x v="68"/>
    <x v="3"/>
    <x v="3"/>
    <x v="3"/>
    <x v="68"/>
    <x v="1"/>
  </r>
  <r>
    <x v="0"/>
    <x v="2"/>
    <x v="69"/>
    <x v="69"/>
    <x v="2"/>
    <x v="2"/>
    <x v="2"/>
    <x v="69"/>
    <x v="0"/>
  </r>
  <r>
    <x v="18"/>
    <x v="3"/>
    <x v="70"/>
    <x v="70"/>
    <x v="3"/>
    <x v="3"/>
    <x v="3"/>
    <x v="70"/>
    <x v="4"/>
  </r>
  <r>
    <x v="1"/>
    <x v="2"/>
    <x v="71"/>
    <x v="71"/>
    <x v="2"/>
    <x v="2"/>
    <x v="2"/>
    <x v="71"/>
    <x v="0"/>
  </r>
  <r>
    <x v="19"/>
    <x v="3"/>
    <x v="72"/>
    <x v="72"/>
    <x v="3"/>
    <x v="3"/>
    <x v="3"/>
    <x v="72"/>
    <x v="3"/>
  </r>
  <r>
    <x v="20"/>
    <x v="3"/>
    <x v="73"/>
    <x v="73"/>
    <x v="3"/>
    <x v="3"/>
    <x v="3"/>
    <x v="73"/>
    <x v="2"/>
  </r>
  <r>
    <x v="2"/>
    <x v="2"/>
    <x v="74"/>
    <x v="74"/>
    <x v="2"/>
    <x v="2"/>
    <x v="2"/>
    <x v="74"/>
    <x v="0"/>
  </r>
  <r>
    <x v="21"/>
    <x v="3"/>
    <x v="75"/>
    <x v="75"/>
    <x v="3"/>
    <x v="3"/>
    <x v="3"/>
    <x v="75"/>
    <x v="0"/>
  </r>
  <r>
    <x v="22"/>
    <x v="3"/>
    <x v="76"/>
    <x v="76"/>
    <x v="3"/>
    <x v="3"/>
    <x v="3"/>
    <x v="76"/>
    <x v="4"/>
  </r>
  <r>
    <x v="23"/>
    <x v="3"/>
    <x v="77"/>
    <x v="77"/>
    <x v="3"/>
    <x v="3"/>
    <x v="3"/>
    <x v="77"/>
    <x v="3"/>
  </r>
  <r>
    <x v="24"/>
    <x v="3"/>
    <x v="78"/>
    <x v="78"/>
    <x v="3"/>
    <x v="3"/>
    <x v="3"/>
    <x v="78"/>
    <x v="3"/>
  </r>
  <r>
    <x v="25"/>
    <x v="3"/>
    <x v="79"/>
    <x v="79"/>
    <x v="3"/>
    <x v="3"/>
    <x v="3"/>
    <x v="79"/>
    <x v="3"/>
  </r>
  <r>
    <x v="26"/>
    <x v="3"/>
    <x v="80"/>
    <x v="80"/>
    <x v="3"/>
    <x v="3"/>
    <x v="3"/>
    <x v="80"/>
    <x v="2"/>
  </r>
  <r>
    <x v="0"/>
    <x v="3"/>
    <x v="81"/>
    <x v="81"/>
    <x v="3"/>
    <x v="3"/>
    <x v="3"/>
    <x v="81"/>
    <x v="0"/>
  </r>
  <r>
    <x v="1"/>
    <x v="3"/>
    <x v="82"/>
    <x v="82"/>
    <x v="3"/>
    <x v="3"/>
    <x v="3"/>
    <x v="82"/>
    <x v="0"/>
  </r>
  <r>
    <x v="2"/>
    <x v="3"/>
    <x v="83"/>
    <x v="83"/>
    <x v="3"/>
    <x v="3"/>
    <x v="3"/>
    <x v="83"/>
    <x v="0"/>
  </r>
  <r>
    <x v="3"/>
    <x v="4"/>
    <x v="84"/>
    <x v="84"/>
    <x v="4"/>
    <x v="4"/>
    <x v="4"/>
    <x v="84"/>
    <x v="1"/>
  </r>
  <r>
    <x v="4"/>
    <x v="4"/>
    <x v="85"/>
    <x v="85"/>
    <x v="4"/>
    <x v="4"/>
    <x v="4"/>
    <x v="85"/>
    <x v="2"/>
  </r>
  <r>
    <x v="5"/>
    <x v="4"/>
    <x v="86"/>
    <x v="86"/>
    <x v="4"/>
    <x v="4"/>
    <x v="4"/>
    <x v="86"/>
    <x v="1"/>
  </r>
  <r>
    <x v="6"/>
    <x v="4"/>
    <x v="87"/>
    <x v="87"/>
    <x v="4"/>
    <x v="4"/>
    <x v="4"/>
    <x v="87"/>
    <x v="3"/>
  </r>
  <r>
    <x v="7"/>
    <x v="4"/>
    <x v="88"/>
    <x v="88"/>
    <x v="4"/>
    <x v="4"/>
    <x v="4"/>
    <x v="88"/>
    <x v="3"/>
  </r>
  <r>
    <x v="8"/>
    <x v="4"/>
    <x v="89"/>
    <x v="89"/>
    <x v="4"/>
    <x v="4"/>
    <x v="4"/>
    <x v="89"/>
    <x v="4"/>
  </r>
  <r>
    <x v="9"/>
    <x v="4"/>
    <x v="90"/>
    <x v="90"/>
    <x v="4"/>
    <x v="4"/>
    <x v="4"/>
    <x v="90"/>
    <x v="4"/>
  </r>
  <r>
    <x v="10"/>
    <x v="4"/>
    <x v="91"/>
    <x v="91"/>
    <x v="4"/>
    <x v="4"/>
    <x v="4"/>
    <x v="91"/>
    <x v="0"/>
  </r>
  <r>
    <x v="11"/>
    <x v="4"/>
    <x v="92"/>
    <x v="92"/>
    <x v="4"/>
    <x v="4"/>
    <x v="4"/>
    <x v="92"/>
    <x v="4"/>
  </r>
  <r>
    <x v="12"/>
    <x v="4"/>
    <x v="93"/>
    <x v="93"/>
    <x v="4"/>
    <x v="4"/>
    <x v="4"/>
    <x v="93"/>
    <x v="1"/>
  </r>
  <r>
    <x v="13"/>
    <x v="4"/>
    <x v="94"/>
    <x v="94"/>
    <x v="4"/>
    <x v="4"/>
    <x v="4"/>
    <x v="94"/>
    <x v="2"/>
  </r>
  <r>
    <x v="14"/>
    <x v="4"/>
    <x v="95"/>
    <x v="95"/>
    <x v="4"/>
    <x v="4"/>
    <x v="4"/>
    <x v="95"/>
    <x v="2"/>
  </r>
  <r>
    <x v="15"/>
    <x v="4"/>
    <x v="96"/>
    <x v="96"/>
    <x v="4"/>
    <x v="4"/>
    <x v="4"/>
    <x v="96"/>
    <x v="3"/>
  </r>
  <r>
    <x v="16"/>
    <x v="4"/>
    <x v="97"/>
    <x v="97"/>
    <x v="4"/>
    <x v="4"/>
    <x v="4"/>
    <x v="97"/>
    <x v="4"/>
  </r>
  <r>
    <x v="17"/>
    <x v="4"/>
    <x v="98"/>
    <x v="98"/>
    <x v="4"/>
    <x v="4"/>
    <x v="4"/>
    <x v="98"/>
    <x v="1"/>
  </r>
  <r>
    <x v="18"/>
    <x v="4"/>
    <x v="99"/>
    <x v="99"/>
    <x v="4"/>
    <x v="4"/>
    <x v="4"/>
    <x v="99"/>
    <x v="4"/>
  </r>
  <r>
    <x v="19"/>
    <x v="4"/>
    <x v="100"/>
    <x v="100"/>
    <x v="4"/>
    <x v="4"/>
    <x v="4"/>
    <x v="100"/>
    <x v="3"/>
  </r>
  <r>
    <x v="20"/>
    <x v="4"/>
    <x v="101"/>
    <x v="101"/>
    <x v="4"/>
    <x v="4"/>
    <x v="4"/>
    <x v="101"/>
    <x v="2"/>
  </r>
  <r>
    <x v="21"/>
    <x v="4"/>
    <x v="102"/>
    <x v="102"/>
    <x v="4"/>
    <x v="4"/>
    <x v="4"/>
    <x v="102"/>
    <x v="0"/>
  </r>
  <r>
    <x v="22"/>
    <x v="4"/>
    <x v="103"/>
    <x v="103"/>
    <x v="4"/>
    <x v="4"/>
    <x v="4"/>
    <x v="103"/>
    <x v="4"/>
  </r>
  <r>
    <x v="23"/>
    <x v="4"/>
    <x v="104"/>
    <x v="104"/>
    <x v="4"/>
    <x v="4"/>
    <x v="4"/>
    <x v="104"/>
    <x v="3"/>
  </r>
  <r>
    <x v="24"/>
    <x v="4"/>
    <x v="105"/>
    <x v="105"/>
    <x v="4"/>
    <x v="4"/>
    <x v="4"/>
    <x v="105"/>
    <x v="3"/>
  </r>
  <r>
    <x v="25"/>
    <x v="4"/>
    <x v="106"/>
    <x v="106"/>
    <x v="4"/>
    <x v="4"/>
    <x v="4"/>
    <x v="106"/>
    <x v="3"/>
  </r>
  <r>
    <x v="26"/>
    <x v="4"/>
    <x v="107"/>
    <x v="107"/>
    <x v="4"/>
    <x v="4"/>
    <x v="4"/>
    <x v="107"/>
    <x v="2"/>
  </r>
  <r>
    <x v="0"/>
    <x v="4"/>
    <x v="108"/>
    <x v="108"/>
    <x v="4"/>
    <x v="4"/>
    <x v="4"/>
    <x v="108"/>
    <x v="0"/>
  </r>
  <r>
    <x v="1"/>
    <x v="4"/>
    <x v="109"/>
    <x v="109"/>
    <x v="4"/>
    <x v="4"/>
    <x v="4"/>
    <x v="109"/>
    <x v="0"/>
  </r>
  <r>
    <x v="2"/>
    <x v="4"/>
    <x v="110"/>
    <x v="110"/>
    <x v="4"/>
    <x v="4"/>
    <x v="4"/>
    <x v="110"/>
    <x v="0"/>
  </r>
  <r>
    <x v="3"/>
    <x v="5"/>
    <x v="111"/>
    <x v="111"/>
    <x v="5"/>
    <x v="5"/>
    <x v="5"/>
    <x v="111"/>
    <x v="1"/>
  </r>
  <r>
    <x v="4"/>
    <x v="5"/>
    <x v="112"/>
    <x v="112"/>
    <x v="5"/>
    <x v="5"/>
    <x v="5"/>
    <x v="112"/>
    <x v="2"/>
  </r>
  <r>
    <x v="5"/>
    <x v="5"/>
    <x v="113"/>
    <x v="113"/>
    <x v="5"/>
    <x v="5"/>
    <x v="5"/>
    <x v="113"/>
    <x v="1"/>
  </r>
  <r>
    <x v="6"/>
    <x v="5"/>
    <x v="114"/>
    <x v="114"/>
    <x v="5"/>
    <x v="5"/>
    <x v="5"/>
    <x v="114"/>
    <x v="3"/>
  </r>
  <r>
    <x v="7"/>
    <x v="5"/>
    <x v="115"/>
    <x v="115"/>
    <x v="5"/>
    <x v="5"/>
    <x v="5"/>
    <x v="115"/>
    <x v="3"/>
  </r>
  <r>
    <x v="8"/>
    <x v="5"/>
    <x v="116"/>
    <x v="116"/>
    <x v="5"/>
    <x v="5"/>
    <x v="5"/>
    <x v="116"/>
    <x v="4"/>
  </r>
  <r>
    <x v="9"/>
    <x v="5"/>
    <x v="117"/>
    <x v="117"/>
    <x v="5"/>
    <x v="5"/>
    <x v="5"/>
    <x v="117"/>
    <x v="4"/>
  </r>
  <r>
    <x v="10"/>
    <x v="5"/>
    <x v="118"/>
    <x v="118"/>
    <x v="5"/>
    <x v="5"/>
    <x v="5"/>
    <x v="118"/>
    <x v="0"/>
  </r>
  <r>
    <x v="11"/>
    <x v="5"/>
    <x v="119"/>
    <x v="119"/>
    <x v="5"/>
    <x v="5"/>
    <x v="5"/>
    <x v="119"/>
    <x v="4"/>
  </r>
  <r>
    <x v="12"/>
    <x v="5"/>
    <x v="120"/>
    <x v="120"/>
    <x v="5"/>
    <x v="5"/>
    <x v="5"/>
    <x v="120"/>
    <x v="1"/>
  </r>
  <r>
    <x v="13"/>
    <x v="5"/>
    <x v="121"/>
    <x v="121"/>
    <x v="5"/>
    <x v="5"/>
    <x v="5"/>
    <x v="121"/>
    <x v="2"/>
  </r>
  <r>
    <x v="14"/>
    <x v="5"/>
    <x v="122"/>
    <x v="122"/>
    <x v="5"/>
    <x v="5"/>
    <x v="5"/>
    <x v="122"/>
    <x v="2"/>
  </r>
  <r>
    <x v="15"/>
    <x v="5"/>
    <x v="123"/>
    <x v="123"/>
    <x v="5"/>
    <x v="5"/>
    <x v="5"/>
    <x v="123"/>
    <x v="3"/>
  </r>
  <r>
    <x v="16"/>
    <x v="5"/>
    <x v="124"/>
    <x v="124"/>
    <x v="5"/>
    <x v="5"/>
    <x v="5"/>
    <x v="124"/>
    <x v="4"/>
  </r>
  <r>
    <x v="17"/>
    <x v="5"/>
    <x v="125"/>
    <x v="125"/>
    <x v="5"/>
    <x v="5"/>
    <x v="5"/>
    <x v="125"/>
    <x v="1"/>
  </r>
  <r>
    <x v="18"/>
    <x v="5"/>
    <x v="126"/>
    <x v="126"/>
    <x v="5"/>
    <x v="5"/>
    <x v="5"/>
    <x v="126"/>
    <x v="4"/>
  </r>
  <r>
    <x v="19"/>
    <x v="5"/>
    <x v="127"/>
    <x v="127"/>
    <x v="5"/>
    <x v="5"/>
    <x v="5"/>
    <x v="127"/>
    <x v="3"/>
  </r>
  <r>
    <x v="20"/>
    <x v="5"/>
    <x v="128"/>
    <x v="128"/>
    <x v="5"/>
    <x v="5"/>
    <x v="5"/>
    <x v="128"/>
    <x v="2"/>
  </r>
  <r>
    <x v="21"/>
    <x v="5"/>
    <x v="129"/>
    <x v="129"/>
    <x v="5"/>
    <x v="5"/>
    <x v="5"/>
    <x v="129"/>
    <x v="0"/>
  </r>
  <r>
    <x v="22"/>
    <x v="5"/>
    <x v="130"/>
    <x v="130"/>
    <x v="5"/>
    <x v="5"/>
    <x v="5"/>
    <x v="130"/>
    <x v="4"/>
  </r>
  <r>
    <x v="23"/>
    <x v="5"/>
    <x v="131"/>
    <x v="131"/>
    <x v="5"/>
    <x v="5"/>
    <x v="5"/>
    <x v="131"/>
    <x v="3"/>
  </r>
  <r>
    <x v="24"/>
    <x v="5"/>
    <x v="132"/>
    <x v="132"/>
    <x v="5"/>
    <x v="5"/>
    <x v="5"/>
    <x v="132"/>
    <x v="3"/>
  </r>
  <r>
    <x v="25"/>
    <x v="5"/>
    <x v="133"/>
    <x v="133"/>
    <x v="5"/>
    <x v="5"/>
    <x v="5"/>
    <x v="133"/>
    <x v="3"/>
  </r>
  <r>
    <x v="26"/>
    <x v="5"/>
    <x v="134"/>
    <x v="134"/>
    <x v="5"/>
    <x v="5"/>
    <x v="5"/>
    <x v="134"/>
    <x v="2"/>
  </r>
  <r>
    <x v="3"/>
    <x v="6"/>
    <x v="135"/>
    <x v="135"/>
    <x v="6"/>
    <x v="6"/>
    <x v="6"/>
    <x v="135"/>
    <x v="1"/>
  </r>
  <r>
    <x v="4"/>
    <x v="6"/>
    <x v="136"/>
    <x v="136"/>
    <x v="6"/>
    <x v="6"/>
    <x v="6"/>
    <x v="136"/>
    <x v="2"/>
  </r>
  <r>
    <x v="5"/>
    <x v="6"/>
    <x v="137"/>
    <x v="137"/>
    <x v="6"/>
    <x v="6"/>
    <x v="6"/>
    <x v="137"/>
    <x v="1"/>
  </r>
  <r>
    <x v="6"/>
    <x v="6"/>
    <x v="138"/>
    <x v="138"/>
    <x v="6"/>
    <x v="6"/>
    <x v="6"/>
    <x v="138"/>
    <x v="3"/>
  </r>
  <r>
    <x v="7"/>
    <x v="6"/>
    <x v="139"/>
    <x v="139"/>
    <x v="6"/>
    <x v="6"/>
    <x v="6"/>
    <x v="139"/>
    <x v="3"/>
  </r>
  <r>
    <x v="8"/>
    <x v="6"/>
    <x v="140"/>
    <x v="140"/>
    <x v="6"/>
    <x v="6"/>
    <x v="6"/>
    <x v="140"/>
    <x v="4"/>
  </r>
  <r>
    <x v="9"/>
    <x v="6"/>
    <x v="141"/>
    <x v="141"/>
    <x v="6"/>
    <x v="6"/>
    <x v="6"/>
    <x v="141"/>
    <x v="4"/>
  </r>
  <r>
    <x v="10"/>
    <x v="6"/>
    <x v="142"/>
    <x v="142"/>
    <x v="6"/>
    <x v="6"/>
    <x v="6"/>
    <x v="142"/>
    <x v="0"/>
  </r>
  <r>
    <x v="11"/>
    <x v="6"/>
    <x v="143"/>
    <x v="143"/>
    <x v="6"/>
    <x v="6"/>
    <x v="6"/>
    <x v="143"/>
    <x v="4"/>
  </r>
  <r>
    <x v="12"/>
    <x v="6"/>
    <x v="144"/>
    <x v="144"/>
    <x v="6"/>
    <x v="6"/>
    <x v="6"/>
    <x v="144"/>
    <x v="1"/>
  </r>
  <r>
    <x v="13"/>
    <x v="6"/>
    <x v="145"/>
    <x v="145"/>
    <x v="6"/>
    <x v="6"/>
    <x v="6"/>
    <x v="145"/>
    <x v="2"/>
  </r>
  <r>
    <x v="14"/>
    <x v="6"/>
    <x v="146"/>
    <x v="146"/>
    <x v="6"/>
    <x v="6"/>
    <x v="6"/>
    <x v="146"/>
    <x v="2"/>
  </r>
  <r>
    <x v="15"/>
    <x v="6"/>
    <x v="147"/>
    <x v="147"/>
    <x v="6"/>
    <x v="6"/>
    <x v="6"/>
    <x v="147"/>
    <x v="3"/>
  </r>
  <r>
    <x v="16"/>
    <x v="6"/>
    <x v="148"/>
    <x v="148"/>
    <x v="6"/>
    <x v="6"/>
    <x v="6"/>
    <x v="148"/>
    <x v="4"/>
  </r>
  <r>
    <x v="17"/>
    <x v="6"/>
    <x v="149"/>
    <x v="149"/>
    <x v="6"/>
    <x v="6"/>
    <x v="6"/>
    <x v="149"/>
    <x v="1"/>
  </r>
  <r>
    <x v="0"/>
    <x v="5"/>
    <x v="150"/>
    <x v="150"/>
    <x v="5"/>
    <x v="5"/>
    <x v="5"/>
    <x v="150"/>
    <x v="0"/>
  </r>
  <r>
    <x v="18"/>
    <x v="6"/>
    <x v="151"/>
    <x v="151"/>
    <x v="6"/>
    <x v="6"/>
    <x v="6"/>
    <x v="151"/>
    <x v="4"/>
  </r>
  <r>
    <x v="1"/>
    <x v="5"/>
    <x v="152"/>
    <x v="152"/>
    <x v="5"/>
    <x v="5"/>
    <x v="5"/>
    <x v="152"/>
    <x v="0"/>
  </r>
  <r>
    <x v="19"/>
    <x v="6"/>
    <x v="153"/>
    <x v="153"/>
    <x v="6"/>
    <x v="6"/>
    <x v="6"/>
    <x v="153"/>
    <x v="3"/>
  </r>
  <r>
    <x v="20"/>
    <x v="6"/>
    <x v="154"/>
    <x v="154"/>
    <x v="6"/>
    <x v="6"/>
    <x v="6"/>
    <x v="154"/>
    <x v="2"/>
  </r>
  <r>
    <x v="2"/>
    <x v="5"/>
    <x v="155"/>
    <x v="155"/>
    <x v="5"/>
    <x v="5"/>
    <x v="5"/>
    <x v="155"/>
    <x v="0"/>
  </r>
  <r>
    <x v="21"/>
    <x v="6"/>
    <x v="156"/>
    <x v="156"/>
    <x v="6"/>
    <x v="6"/>
    <x v="6"/>
    <x v="156"/>
    <x v="0"/>
  </r>
  <r>
    <x v="22"/>
    <x v="6"/>
    <x v="157"/>
    <x v="157"/>
    <x v="6"/>
    <x v="6"/>
    <x v="6"/>
    <x v="157"/>
    <x v="4"/>
  </r>
  <r>
    <x v="23"/>
    <x v="6"/>
    <x v="158"/>
    <x v="158"/>
    <x v="6"/>
    <x v="6"/>
    <x v="6"/>
    <x v="158"/>
    <x v="3"/>
  </r>
  <r>
    <x v="24"/>
    <x v="6"/>
    <x v="159"/>
    <x v="159"/>
    <x v="6"/>
    <x v="6"/>
    <x v="6"/>
    <x v="159"/>
    <x v="3"/>
  </r>
  <r>
    <x v="25"/>
    <x v="6"/>
    <x v="160"/>
    <x v="160"/>
    <x v="6"/>
    <x v="6"/>
    <x v="6"/>
    <x v="160"/>
    <x v="3"/>
  </r>
  <r>
    <x v="26"/>
    <x v="6"/>
    <x v="161"/>
    <x v="161"/>
    <x v="6"/>
    <x v="6"/>
    <x v="6"/>
    <x v="161"/>
    <x v="2"/>
  </r>
  <r>
    <x v="3"/>
    <x v="7"/>
    <x v="162"/>
    <x v="162"/>
    <x v="7"/>
    <x v="7"/>
    <x v="7"/>
    <x v="162"/>
    <x v="1"/>
  </r>
  <r>
    <x v="4"/>
    <x v="7"/>
    <x v="163"/>
    <x v="163"/>
    <x v="7"/>
    <x v="7"/>
    <x v="7"/>
    <x v="163"/>
    <x v="2"/>
  </r>
  <r>
    <x v="5"/>
    <x v="7"/>
    <x v="164"/>
    <x v="164"/>
    <x v="7"/>
    <x v="7"/>
    <x v="7"/>
    <x v="164"/>
    <x v="1"/>
  </r>
  <r>
    <x v="6"/>
    <x v="7"/>
    <x v="165"/>
    <x v="165"/>
    <x v="7"/>
    <x v="7"/>
    <x v="7"/>
    <x v="165"/>
    <x v="3"/>
  </r>
  <r>
    <x v="7"/>
    <x v="7"/>
    <x v="166"/>
    <x v="166"/>
    <x v="7"/>
    <x v="7"/>
    <x v="7"/>
    <x v="166"/>
    <x v="3"/>
  </r>
  <r>
    <x v="8"/>
    <x v="7"/>
    <x v="167"/>
    <x v="167"/>
    <x v="7"/>
    <x v="7"/>
    <x v="7"/>
    <x v="167"/>
    <x v="4"/>
  </r>
  <r>
    <x v="9"/>
    <x v="7"/>
    <x v="168"/>
    <x v="168"/>
    <x v="7"/>
    <x v="7"/>
    <x v="7"/>
    <x v="168"/>
    <x v="4"/>
  </r>
  <r>
    <x v="10"/>
    <x v="7"/>
    <x v="169"/>
    <x v="169"/>
    <x v="7"/>
    <x v="7"/>
    <x v="7"/>
    <x v="169"/>
    <x v="0"/>
  </r>
  <r>
    <x v="11"/>
    <x v="7"/>
    <x v="170"/>
    <x v="170"/>
    <x v="7"/>
    <x v="7"/>
    <x v="7"/>
    <x v="170"/>
    <x v="4"/>
  </r>
  <r>
    <x v="12"/>
    <x v="7"/>
    <x v="171"/>
    <x v="171"/>
    <x v="7"/>
    <x v="7"/>
    <x v="7"/>
    <x v="171"/>
    <x v="1"/>
  </r>
  <r>
    <x v="13"/>
    <x v="7"/>
    <x v="172"/>
    <x v="172"/>
    <x v="7"/>
    <x v="7"/>
    <x v="7"/>
    <x v="172"/>
    <x v="2"/>
  </r>
  <r>
    <x v="14"/>
    <x v="7"/>
    <x v="173"/>
    <x v="173"/>
    <x v="7"/>
    <x v="7"/>
    <x v="7"/>
    <x v="173"/>
    <x v="2"/>
  </r>
  <r>
    <x v="15"/>
    <x v="7"/>
    <x v="174"/>
    <x v="174"/>
    <x v="7"/>
    <x v="7"/>
    <x v="7"/>
    <x v="174"/>
    <x v="3"/>
  </r>
  <r>
    <x v="16"/>
    <x v="7"/>
    <x v="175"/>
    <x v="175"/>
    <x v="7"/>
    <x v="7"/>
    <x v="7"/>
    <x v="175"/>
    <x v="4"/>
  </r>
  <r>
    <x v="17"/>
    <x v="7"/>
    <x v="176"/>
    <x v="176"/>
    <x v="7"/>
    <x v="7"/>
    <x v="7"/>
    <x v="176"/>
    <x v="1"/>
  </r>
  <r>
    <x v="0"/>
    <x v="6"/>
    <x v="177"/>
    <x v="177"/>
    <x v="6"/>
    <x v="6"/>
    <x v="6"/>
    <x v="177"/>
    <x v="0"/>
  </r>
  <r>
    <x v="18"/>
    <x v="7"/>
    <x v="178"/>
    <x v="178"/>
    <x v="7"/>
    <x v="7"/>
    <x v="7"/>
    <x v="178"/>
    <x v="4"/>
  </r>
  <r>
    <x v="1"/>
    <x v="6"/>
    <x v="179"/>
    <x v="179"/>
    <x v="6"/>
    <x v="6"/>
    <x v="6"/>
    <x v="179"/>
    <x v="0"/>
  </r>
  <r>
    <x v="19"/>
    <x v="7"/>
    <x v="180"/>
    <x v="180"/>
    <x v="7"/>
    <x v="7"/>
    <x v="7"/>
    <x v="180"/>
    <x v="3"/>
  </r>
  <r>
    <x v="20"/>
    <x v="7"/>
    <x v="181"/>
    <x v="181"/>
    <x v="7"/>
    <x v="7"/>
    <x v="7"/>
    <x v="181"/>
    <x v="2"/>
  </r>
  <r>
    <x v="2"/>
    <x v="6"/>
    <x v="182"/>
    <x v="182"/>
    <x v="6"/>
    <x v="6"/>
    <x v="6"/>
    <x v="182"/>
    <x v="0"/>
  </r>
  <r>
    <x v="21"/>
    <x v="7"/>
    <x v="183"/>
    <x v="183"/>
    <x v="7"/>
    <x v="7"/>
    <x v="7"/>
    <x v="183"/>
    <x v="0"/>
  </r>
  <r>
    <x v="22"/>
    <x v="7"/>
    <x v="184"/>
    <x v="184"/>
    <x v="7"/>
    <x v="7"/>
    <x v="7"/>
    <x v="184"/>
    <x v="4"/>
  </r>
  <r>
    <x v="23"/>
    <x v="7"/>
    <x v="185"/>
    <x v="185"/>
    <x v="7"/>
    <x v="7"/>
    <x v="7"/>
    <x v="185"/>
    <x v="3"/>
  </r>
  <r>
    <x v="24"/>
    <x v="7"/>
    <x v="186"/>
    <x v="186"/>
    <x v="7"/>
    <x v="7"/>
    <x v="7"/>
    <x v="186"/>
    <x v="3"/>
  </r>
  <r>
    <x v="25"/>
    <x v="7"/>
    <x v="187"/>
    <x v="187"/>
    <x v="7"/>
    <x v="7"/>
    <x v="7"/>
    <x v="187"/>
    <x v="3"/>
  </r>
  <r>
    <x v="26"/>
    <x v="7"/>
    <x v="188"/>
    <x v="188"/>
    <x v="7"/>
    <x v="7"/>
    <x v="7"/>
    <x v="188"/>
    <x v="2"/>
  </r>
  <r>
    <x v="3"/>
    <x v="8"/>
    <x v="189"/>
    <x v="189"/>
    <x v="8"/>
    <x v="8"/>
    <x v="8"/>
    <x v="189"/>
    <x v="1"/>
  </r>
  <r>
    <x v="4"/>
    <x v="8"/>
    <x v="190"/>
    <x v="190"/>
    <x v="8"/>
    <x v="8"/>
    <x v="8"/>
    <x v="190"/>
    <x v="2"/>
  </r>
  <r>
    <x v="5"/>
    <x v="8"/>
    <x v="191"/>
    <x v="191"/>
    <x v="8"/>
    <x v="8"/>
    <x v="8"/>
    <x v="191"/>
    <x v="1"/>
  </r>
  <r>
    <x v="6"/>
    <x v="8"/>
    <x v="192"/>
    <x v="192"/>
    <x v="8"/>
    <x v="8"/>
    <x v="8"/>
    <x v="192"/>
    <x v="3"/>
  </r>
  <r>
    <x v="7"/>
    <x v="8"/>
    <x v="193"/>
    <x v="193"/>
    <x v="8"/>
    <x v="8"/>
    <x v="8"/>
    <x v="193"/>
    <x v="3"/>
  </r>
  <r>
    <x v="8"/>
    <x v="8"/>
    <x v="194"/>
    <x v="194"/>
    <x v="8"/>
    <x v="8"/>
    <x v="8"/>
    <x v="194"/>
    <x v="4"/>
  </r>
  <r>
    <x v="9"/>
    <x v="8"/>
    <x v="195"/>
    <x v="195"/>
    <x v="8"/>
    <x v="8"/>
    <x v="8"/>
    <x v="195"/>
    <x v="4"/>
  </r>
  <r>
    <x v="10"/>
    <x v="8"/>
    <x v="196"/>
    <x v="196"/>
    <x v="8"/>
    <x v="8"/>
    <x v="8"/>
    <x v="196"/>
    <x v="0"/>
  </r>
  <r>
    <x v="11"/>
    <x v="8"/>
    <x v="197"/>
    <x v="197"/>
    <x v="8"/>
    <x v="8"/>
    <x v="8"/>
    <x v="197"/>
    <x v="4"/>
  </r>
  <r>
    <x v="12"/>
    <x v="8"/>
    <x v="198"/>
    <x v="198"/>
    <x v="8"/>
    <x v="8"/>
    <x v="8"/>
    <x v="198"/>
    <x v="1"/>
  </r>
  <r>
    <x v="13"/>
    <x v="8"/>
    <x v="199"/>
    <x v="199"/>
    <x v="8"/>
    <x v="8"/>
    <x v="8"/>
    <x v="199"/>
    <x v="2"/>
  </r>
  <r>
    <x v="14"/>
    <x v="8"/>
    <x v="200"/>
    <x v="200"/>
    <x v="8"/>
    <x v="8"/>
    <x v="8"/>
    <x v="200"/>
    <x v="2"/>
  </r>
  <r>
    <x v="15"/>
    <x v="8"/>
    <x v="201"/>
    <x v="201"/>
    <x v="8"/>
    <x v="8"/>
    <x v="8"/>
    <x v="201"/>
    <x v="3"/>
  </r>
  <r>
    <x v="16"/>
    <x v="8"/>
    <x v="202"/>
    <x v="202"/>
    <x v="8"/>
    <x v="8"/>
    <x v="8"/>
    <x v="202"/>
    <x v="4"/>
  </r>
  <r>
    <x v="17"/>
    <x v="8"/>
    <x v="203"/>
    <x v="203"/>
    <x v="8"/>
    <x v="8"/>
    <x v="8"/>
    <x v="203"/>
    <x v="1"/>
  </r>
  <r>
    <x v="0"/>
    <x v="7"/>
    <x v="204"/>
    <x v="204"/>
    <x v="7"/>
    <x v="7"/>
    <x v="7"/>
    <x v="204"/>
    <x v="0"/>
  </r>
  <r>
    <x v="18"/>
    <x v="8"/>
    <x v="205"/>
    <x v="205"/>
    <x v="8"/>
    <x v="8"/>
    <x v="8"/>
    <x v="205"/>
    <x v="4"/>
  </r>
  <r>
    <x v="1"/>
    <x v="7"/>
    <x v="206"/>
    <x v="206"/>
    <x v="7"/>
    <x v="7"/>
    <x v="7"/>
    <x v="206"/>
    <x v="0"/>
  </r>
  <r>
    <x v="19"/>
    <x v="8"/>
    <x v="207"/>
    <x v="207"/>
    <x v="8"/>
    <x v="8"/>
    <x v="8"/>
    <x v="207"/>
    <x v="3"/>
  </r>
  <r>
    <x v="20"/>
    <x v="8"/>
    <x v="208"/>
    <x v="208"/>
    <x v="8"/>
    <x v="8"/>
    <x v="8"/>
    <x v="208"/>
    <x v="2"/>
  </r>
  <r>
    <x v="2"/>
    <x v="7"/>
    <x v="209"/>
    <x v="209"/>
    <x v="7"/>
    <x v="7"/>
    <x v="7"/>
    <x v="209"/>
    <x v="0"/>
  </r>
  <r>
    <x v="21"/>
    <x v="8"/>
    <x v="210"/>
    <x v="210"/>
    <x v="8"/>
    <x v="8"/>
    <x v="8"/>
    <x v="210"/>
    <x v="0"/>
  </r>
  <r>
    <x v="22"/>
    <x v="8"/>
    <x v="211"/>
    <x v="211"/>
    <x v="8"/>
    <x v="8"/>
    <x v="8"/>
    <x v="211"/>
    <x v="4"/>
  </r>
  <r>
    <x v="23"/>
    <x v="8"/>
    <x v="212"/>
    <x v="212"/>
    <x v="8"/>
    <x v="8"/>
    <x v="8"/>
    <x v="212"/>
    <x v="3"/>
  </r>
  <r>
    <x v="24"/>
    <x v="8"/>
    <x v="213"/>
    <x v="213"/>
    <x v="8"/>
    <x v="8"/>
    <x v="8"/>
    <x v="213"/>
    <x v="3"/>
  </r>
  <r>
    <x v="25"/>
    <x v="8"/>
    <x v="214"/>
    <x v="214"/>
    <x v="8"/>
    <x v="8"/>
    <x v="8"/>
    <x v="214"/>
    <x v="3"/>
  </r>
  <r>
    <x v="26"/>
    <x v="8"/>
    <x v="215"/>
    <x v="215"/>
    <x v="8"/>
    <x v="8"/>
    <x v="8"/>
    <x v="215"/>
    <x v="2"/>
  </r>
  <r>
    <x v="0"/>
    <x v="8"/>
    <x v="216"/>
    <x v="216"/>
    <x v="8"/>
    <x v="8"/>
    <x v="8"/>
    <x v="216"/>
    <x v="0"/>
  </r>
  <r>
    <x v="1"/>
    <x v="8"/>
    <x v="217"/>
    <x v="217"/>
    <x v="8"/>
    <x v="8"/>
    <x v="8"/>
    <x v="217"/>
    <x v="0"/>
  </r>
  <r>
    <x v="2"/>
    <x v="8"/>
    <x v="218"/>
    <x v="218"/>
    <x v="8"/>
    <x v="8"/>
    <x v="8"/>
    <x v="218"/>
    <x v="0"/>
  </r>
  <r>
    <x v="3"/>
    <x v="9"/>
    <x v="219"/>
    <x v="219"/>
    <x v="0"/>
    <x v="9"/>
    <x v="9"/>
    <x v="219"/>
    <x v="1"/>
  </r>
  <r>
    <x v="4"/>
    <x v="9"/>
    <x v="220"/>
    <x v="220"/>
    <x v="0"/>
    <x v="9"/>
    <x v="9"/>
    <x v="220"/>
    <x v="2"/>
  </r>
  <r>
    <x v="5"/>
    <x v="9"/>
    <x v="221"/>
    <x v="221"/>
    <x v="0"/>
    <x v="9"/>
    <x v="9"/>
    <x v="221"/>
    <x v="1"/>
  </r>
  <r>
    <x v="6"/>
    <x v="9"/>
    <x v="222"/>
    <x v="222"/>
    <x v="0"/>
    <x v="9"/>
    <x v="9"/>
    <x v="222"/>
    <x v="3"/>
  </r>
  <r>
    <x v="7"/>
    <x v="9"/>
    <x v="223"/>
    <x v="223"/>
    <x v="0"/>
    <x v="9"/>
    <x v="9"/>
    <x v="223"/>
    <x v="3"/>
  </r>
  <r>
    <x v="8"/>
    <x v="9"/>
    <x v="224"/>
    <x v="224"/>
    <x v="0"/>
    <x v="9"/>
    <x v="9"/>
    <x v="224"/>
    <x v="4"/>
  </r>
  <r>
    <x v="9"/>
    <x v="9"/>
    <x v="225"/>
    <x v="225"/>
    <x v="0"/>
    <x v="9"/>
    <x v="9"/>
    <x v="225"/>
    <x v="4"/>
  </r>
  <r>
    <x v="10"/>
    <x v="9"/>
    <x v="226"/>
    <x v="226"/>
    <x v="0"/>
    <x v="9"/>
    <x v="9"/>
    <x v="226"/>
    <x v="0"/>
  </r>
  <r>
    <x v="11"/>
    <x v="9"/>
    <x v="227"/>
    <x v="227"/>
    <x v="0"/>
    <x v="9"/>
    <x v="9"/>
    <x v="227"/>
    <x v="4"/>
  </r>
  <r>
    <x v="12"/>
    <x v="9"/>
    <x v="228"/>
    <x v="228"/>
    <x v="0"/>
    <x v="9"/>
    <x v="9"/>
    <x v="228"/>
    <x v="1"/>
  </r>
  <r>
    <x v="13"/>
    <x v="9"/>
    <x v="229"/>
    <x v="229"/>
    <x v="0"/>
    <x v="9"/>
    <x v="9"/>
    <x v="229"/>
    <x v="2"/>
  </r>
  <r>
    <x v="14"/>
    <x v="9"/>
    <x v="230"/>
    <x v="230"/>
    <x v="0"/>
    <x v="9"/>
    <x v="9"/>
    <x v="230"/>
    <x v="2"/>
  </r>
  <r>
    <x v="15"/>
    <x v="9"/>
    <x v="231"/>
    <x v="231"/>
    <x v="0"/>
    <x v="9"/>
    <x v="9"/>
    <x v="231"/>
    <x v="3"/>
  </r>
  <r>
    <x v="16"/>
    <x v="9"/>
    <x v="232"/>
    <x v="232"/>
    <x v="0"/>
    <x v="9"/>
    <x v="9"/>
    <x v="232"/>
    <x v="4"/>
  </r>
  <r>
    <x v="17"/>
    <x v="9"/>
    <x v="233"/>
    <x v="233"/>
    <x v="0"/>
    <x v="9"/>
    <x v="9"/>
    <x v="233"/>
    <x v="1"/>
  </r>
  <r>
    <x v="18"/>
    <x v="9"/>
    <x v="234"/>
    <x v="234"/>
    <x v="0"/>
    <x v="9"/>
    <x v="9"/>
    <x v="234"/>
    <x v="4"/>
  </r>
  <r>
    <x v="19"/>
    <x v="9"/>
    <x v="235"/>
    <x v="235"/>
    <x v="0"/>
    <x v="9"/>
    <x v="9"/>
    <x v="235"/>
    <x v="3"/>
  </r>
  <r>
    <x v="20"/>
    <x v="9"/>
    <x v="236"/>
    <x v="236"/>
    <x v="0"/>
    <x v="9"/>
    <x v="9"/>
    <x v="236"/>
    <x v="2"/>
  </r>
  <r>
    <x v="21"/>
    <x v="9"/>
    <x v="237"/>
    <x v="237"/>
    <x v="0"/>
    <x v="9"/>
    <x v="9"/>
    <x v="237"/>
    <x v="0"/>
  </r>
  <r>
    <x v="22"/>
    <x v="9"/>
    <x v="238"/>
    <x v="238"/>
    <x v="0"/>
    <x v="9"/>
    <x v="9"/>
    <x v="238"/>
    <x v="4"/>
  </r>
  <r>
    <x v="23"/>
    <x v="9"/>
    <x v="239"/>
    <x v="239"/>
    <x v="0"/>
    <x v="9"/>
    <x v="9"/>
    <x v="239"/>
    <x v="3"/>
  </r>
  <r>
    <x v="24"/>
    <x v="9"/>
    <x v="240"/>
    <x v="240"/>
    <x v="0"/>
    <x v="9"/>
    <x v="9"/>
    <x v="240"/>
    <x v="3"/>
  </r>
  <r>
    <x v="25"/>
    <x v="9"/>
    <x v="241"/>
    <x v="241"/>
    <x v="0"/>
    <x v="9"/>
    <x v="9"/>
    <x v="241"/>
    <x v="3"/>
  </r>
  <r>
    <x v="26"/>
    <x v="9"/>
    <x v="242"/>
    <x v="242"/>
    <x v="0"/>
    <x v="9"/>
    <x v="9"/>
    <x v="242"/>
    <x v="2"/>
  </r>
  <r>
    <x v="3"/>
    <x v="10"/>
    <x v="243"/>
    <x v="243"/>
    <x v="0"/>
    <x v="10"/>
    <x v="10"/>
    <x v="243"/>
    <x v="1"/>
  </r>
  <r>
    <x v="4"/>
    <x v="10"/>
    <x v="244"/>
    <x v="244"/>
    <x v="0"/>
    <x v="10"/>
    <x v="10"/>
    <x v="244"/>
    <x v="2"/>
  </r>
  <r>
    <x v="5"/>
    <x v="10"/>
    <x v="245"/>
    <x v="245"/>
    <x v="0"/>
    <x v="10"/>
    <x v="10"/>
    <x v="245"/>
    <x v="1"/>
  </r>
  <r>
    <x v="6"/>
    <x v="10"/>
    <x v="246"/>
    <x v="246"/>
    <x v="0"/>
    <x v="10"/>
    <x v="10"/>
    <x v="246"/>
    <x v="3"/>
  </r>
  <r>
    <x v="7"/>
    <x v="10"/>
    <x v="247"/>
    <x v="247"/>
    <x v="0"/>
    <x v="10"/>
    <x v="10"/>
    <x v="247"/>
    <x v="3"/>
  </r>
  <r>
    <x v="8"/>
    <x v="11"/>
    <x v="248"/>
    <x v="248"/>
    <x v="1"/>
    <x v="11"/>
    <x v="11"/>
    <x v="248"/>
    <x v="4"/>
  </r>
  <r>
    <x v="9"/>
    <x v="10"/>
    <x v="249"/>
    <x v="249"/>
    <x v="0"/>
    <x v="10"/>
    <x v="10"/>
    <x v="249"/>
    <x v="4"/>
  </r>
  <r>
    <x v="10"/>
    <x v="10"/>
    <x v="250"/>
    <x v="250"/>
    <x v="0"/>
    <x v="10"/>
    <x v="10"/>
    <x v="250"/>
    <x v="0"/>
  </r>
  <r>
    <x v="11"/>
    <x v="10"/>
    <x v="251"/>
    <x v="251"/>
    <x v="0"/>
    <x v="10"/>
    <x v="10"/>
    <x v="251"/>
    <x v="4"/>
  </r>
  <r>
    <x v="12"/>
    <x v="10"/>
    <x v="252"/>
    <x v="252"/>
    <x v="0"/>
    <x v="10"/>
    <x v="10"/>
    <x v="252"/>
    <x v="1"/>
  </r>
  <r>
    <x v="13"/>
    <x v="10"/>
    <x v="253"/>
    <x v="253"/>
    <x v="0"/>
    <x v="10"/>
    <x v="10"/>
    <x v="253"/>
    <x v="2"/>
  </r>
  <r>
    <x v="14"/>
    <x v="10"/>
    <x v="254"/>
    <x v="254"/>
    <x v="0"/>
    <x v="10"/>
    <x v="10"/>
    <x v="254"/>
    <x v="2"/>
  </r>
  <r>
    <x v="15"/>
    <x v="10"/>
    <x v="255"/>
    <x v="255"/>
    <x v="0"/>
    <x v="10"/>
    <x v="10"/>
    <x v="255"/>
    <x v="3"/>
  </r>
  <r>
    <x v="16"/>
    <x v="11"/>
    <x v="256"/>
    <x v="256"/>
    <x v="1"/>
    <x v="11"/>
    <x v="11"/>
    <x v="256"/>
    <x v="4"/>
  </r>
  <r>
    <x v="17"/>
    <x v="10"/>
    <x v="257"/>
    <x v="257"/>
    <x v="0"/>
    <x v="10"/>
    <x v="10"/>
    <x v="257"/>
    <x v="1"/>
  </r>
  <r>
    <x v="0"/>
    <x v="9"/>
    <x v="258"/>
    <x v="258"/>
    <x v="0"/>
    <x v="9"/>
    <x v="9"/>
    <x v="258"/>
    <x v="0"/>
  </r>
  <r>
    <x v="18"/>
    <x v="10"/>
    <x v="259"/>
    <x v="259"/>
    <x v="0"/>
    <x v="10"/>
    <x v="10"/>
    <x v="259"/>
    <x v="4"/>
  </r>
  <r>
    <x v="1"/>
    <x v="9"/>
    <x v="260"/>
    <x v="260"/>
    <x v="0"/>
    <x v="9"/>
    <x v="9"/>
    <x v="260"/>
    <x v="0"/>
  </r>
  <r>
    <x v="19"/>
    <x v="10"/>
    <x v="261"/>
    <x v="261"/>
    <x v="0"/>
    <x v="10"/>
    <x v="10"/>
    <x v="261"/>
    <x v="3"/>
  </r>
  <r>
    <x v="20"/>
    <x v="10"/>
    <x v="262"/>
    <x v="262"/>
    <x v="0"/>
    <x v="10"/>
    <x v="10"/>
    <x v="262"/>
    <x v="2"/>
  </r>
  <r>
    <x v="2"/>
    <x v="9"/>
    <x v="263"/>
    <x v="263"/>
    <x v="0"/>
    <x v="9"/>
    <x v="9"/>
    <x v="263"/>
    <x v="0"/>
  </r>
  <r>
    <x v="21"/>
    <x v="10"/>
    <x v="264"/>
    <x v="264"/>
    <x v="0"/>
    <x v="10"/>
    <x v="10"/>
    <x v="264"/>
    <x v="0"/>
  </r>
  <r>
    <x v="22"/>
    <x v="10"/>
    <x v="265"/>
    <x v="265"/>
    <x v="0"/>
    <x v="10"/>
    <x v="10"/>
    <x v="265"/>
    <x v="4"/>
  </r>
  <r>
    <x v="23"/>
    <x v="10"/>
    <x v="266"/>
    <x v="266"/>
    <x v="0"/>
    <x v="10"/>
    <x v="10"/>
    <x v="266"/>
    <x v="3"/>
  </r>
  <r>
    <x v="24"/>
    <x v="10"/>
    <x v="267"/>
    <x v="267"/>
    <x v="0"/>
    <x v="10"/>
    <x v="10"/>
    <x v="267"/>
    <x v="3"/>
  </r>
  <r>
    <x v="25"/>
    <x v="10"/>
    <x v="268"/>
    <x v="268"/>
    <x v="0"/>
    <x v="10"/>
    <x v="10"/>
    <x v="268"/>
    <x v="3"/>
  </r>
  <r>
    <x v="26"/>
    <x v="10"/>
    <x v="269"/>
    <x v="269"/>
    <x v="0"/>
    <x v="10"/>
    <x v="10"/>
    <x v="269"/>
    <x v="2"/>
  </r>
  <r>
    <x v="3"/>
    <x v="11"/>
    <x v="270"/>
    <x v="270"/>
    <x v="1"/>
    <x v="11"/>
    <x v="11"/>
    <x v="270"/>
    <x v="1"/>
  </r>
  <r>
    <x v="4"/>
    <x v="11"/>
    <x v="271"/>
    <x v="271"/>
    <x v="1"/>
    <x v="11"/>
    <x v="11"/>
    <x v="271"/>
    <x v="2"/>
  </r>
  <r>
    <x v="5"/>
    <x v="11"/>
    <x v="272"/>
    <x v="272"/>
    <x v="1"/>
    <x v="11"/>
    <x v="11"/>
    <x v="272"/>
    <x v="1"/>
  </r>
  <r>
    <x v="6"/>
    <x v="11"/>
    <x v="273"/>
    <x v="273"/>
    <x v="1"/>
    <x v="11"/>
    <x v="11"/>
    <x v="273"/>
    <x v="3"/>
  </r>
  <r>
    <x v="7"/>
    <x v="11"/>
    <x v="274"/>
    <x v="274"/>
    <x v="1"/>
    <x v="11"/>
    <x v="11"/>
    <x v="274"/>
    <x v="3"/>
  </r>
  <r>
    <x v="9"/>
    <x v="11"/>
    <x v="275"/>
    <x v="275"/>
    <x v="1"/>
    <x v="11"/>
    <x v="11"/>
    <x v="275"/>
    <x v="4"/>
  </r>
  <r>
    <x v="10"/>
    <x v="11"/>
    <x v="276"/>
    <x v="276"/>
    <x v="1"/>
    <x v="11"/>
    <x v="11"/>
    <x v="276"/>
    <x v="0"/>
  </r>
  <r>
    <x v="11"/>
    <x v="11"/>
    <x v="277"/>
    <x v="277"/>
    <x v="1"/>
    <x v="11"/>
    <x v="11"/>
    <x v="277"/>
    <x v="4"/>
  </r>
  <r>
    <x v="12"/>
    <x v="11"/>
    <x v="278"/>
    <x v="278"/>
    <x v="1"/>
    <x v="11"/>
    <x v="11"/>
    <x v="278"/>
    <x v="1"/>
  </r>
  <r>
    <x v="13"/>
    <x v="11"/>
    <x v="279"/>
    <x v="279"/>
    <x v="1"/>
    <x v="11"/>
    <x v="11"/>
    <x v="279"/>
    <x v="2"/>
  </r>
  <r>
    <x v="14"/>
    <x v="11"/>
    <x v="280"/>
    <x v="280"/>
    <x v="1"/>
    <x v="11"/>
    <x v="11"/>
    <x v="280"/>
    <x v="2"/>
  </r>
  <r>
    <x v="15"/>
    <x v="11"/>
    <x v="281"/>
    <x v="281"/>
    <x v="1"/>
    <x v="11"/>
    <x v="11"/>
    <x v="281"/>
    <x v="3"/>
  </r>
  <r>
    <x v="17"/>
    <x v="11"/>
    <x v="282"/>
    <x v="282"/>
    <x v="1"/>
    <x v="11"/>
    <x v="11"/>
    <x v="282"/>
    <x v="1"/>
  </r>
  <r>
    <x v="0"/>
    <x v="10"/>
    <x v="283"/>
    <x v="283"/>
    <x v="0"/>
    <x v="10"/>
    <x v="10"/>
    <x v="283"/>
    <x v="0"/>
  </r>
  <r>
    <x v="18"/>
    <x v="11"/>
    <x v="284"/>
    <x v="284"/>
    <x v="1"/>
    <x v="11"/>
    <x v="11"/>
    <x v="284"/>
    <x v="4"/>
  </r>
  <r>
    <x v="1"/>
    <x v="10"/>
    <x v="285"/>
    <x v="285"/>
    <x v="0"/>
    <x v="10"/>
    <x v="10"/>
    <x v="285"/>
    <x v="0"/>
  </r>
  <r>
    <x v="19"/>
    <x v="11"/>
    <x v="286"/>
    <x v="286"/>
    <x v="1"/>
    <x v="11"/>
    <x v="11"/>
    <x v="286"/>
    <x v="3"/>
  </r>
  <r>
    <x v="20"/>
    <x v="11"/>
    <x v="287"/>
    <x v="287"/>
    <x v="1"/>
    <x v="11"/>
    <x v="11"/>
    <x v="287"/>
    <x v="2"/>
  </r>
  <r>
    <x v="2"/>
    <x v="10"/>
    <x v="288"/>
    <x v="288"/>
    <x v="0"/>
    <x v="10"/>
    <x v="10"/>
    <x v="288"/>
    <x v="0"/>
  </r>
  <r>
    <x v="21"/>
    <x v="11"/>
    <x v="289"/>
    <x v="289"/>
    <x v="1"/>
    <x v="11"/>
    <x v="11"/>
    <x v="289"/>
    <x v="0"/>
  </r>
  <r>
    <x v="22"/>
    <x v="11"/>
    <x v="290"/>
    <x v="290"/>
    <x v="1"/>
    <x v="11"/>
    <x v="11"/>
    <x v="290"/>
    <x v="4"/>
  </r>
  <r>
    <x v="23"/>
    <x v="11"/>
    <x v="291"/>
    <x v="291"/>
    <x v="1"/>
    <x v="11"/>
    <x v="11"/>
    <x v="291"/>
    <x v="3"/>
  </r>
  <r>
    <x v="24"/>
    <x v="11"/>
    <x v="292"/>
    <x v="292"/>
    <x v="1"/>
    <x v="11"/>
    <x v="11"/>
    <x v="292"/>
    <x v="3"/>
  </r>
  <r>
    <x v="25"/>
    <x v="11"/>
    <x v="293"/>
    <x v="293"/>
    <x v="1"/>
    <x v="11"/>
    <x v="11"/>
    <x v="293"/>
    <x v="3"/>
  </r>
  <r>
    <x v="26"/>
    <x v="11"/>
    <x v="294"/>
    <x v="294"/>
    <x v="1"/>
    <x v="11"/>
    <x v="11"/>
    <x v="294"/>
    <x v="2"/>
  </r>
  <r>
    <x v="8"/>
    <x v="12"/>
    <x v="295"/>
    <x v="295"/>
    <x v="9"/>
    <x v="12"/>
    <x v="12"/>
    <x v="295"/>
    <x v="4"/>
  </r>
  <r>
    <x v="16"/>
    <x v="12"/>
    <x v="296"/>
    <x v="296"/>
    <x v="9"/>
    <x v="12"/>
    <x v="12"/>
    <x v="296"/>
    <x v="4"/>
  </r>
  <r>
    <x v="0"/>
    <x v="11"/>
    <x v="297"/>
    <x v="297"/>
    <x v="1"/>
    <x v="11"/>
    <x v="11"/>
    <x v="297"/>
    <x v="0"/>
  </r>
  <r>
    <x v="1"/>
    <x v="11"/>
    <x v="298"/>
    <x v="298"/>
    <x v="1"/>
    <x v="11"/>
    <x v="11"/>
    <x v="298"/>
    <x v="0"/>
  </r>
  <r>
    <x v="2"/>
    <x v="11"/>
    <x v="299"/>
    <x v="299"/>
    <x v="1"/>
    <x v="11"/>
    <x v="11"/>
    <x v="299"/>
    <x v="0"/>
  </r>
  <r>
    <x v="3"/>
    <x v="12"/>
    <x v="300"/>
    <x v="300"/>
    <x v="9"/>
    <x v="12"/>
    <x v="12"/>
    <x v="300"/>
    <x v="1"/>
  </r>
  <r>
    <x v="4"/>
    <x v="12"/>
    <x v="301"/>
    <x v="301"/>
    <x v="9"/>
    <x v="12"/>
    <x v="12"/>
    <x v="301"/>
    <x v="2"/>
  </r>
  <r>
    <x v="5"/>
    <x v="12"/>
    <x v="302"/>
    <x v="302"/>
    <x v="9"/>
    <x v="12"/>
    <x v="12"/>
    <x v="302"/>
    <x v="1"/>
  </r>
  <r>
    <x v="6"/>
    <x v="12"/>
    <x v="303"/>
    <x v="303"/>
    <x v="9"/>
    <x v="12"/>
    <x v="12"/>
    <x v="303"/>
    <x v="3"/>
  </r>
  <r>
    <x v="7"/>
    <x v="12"/>
    <x v="304"/>
    <x v="304"/>
    <x v="9"/>
    <x v="12"/>
    <x v="12"/>
    <x v="304"/>
    <x v="3"/>
  </r>
  <r>
    <x v="8"/>
    <x v="13"/>
    <x v="305"/>
    <x v="305"/>
    <x v="10"/>
    <x v="13"/>
    <x v="13"/>
    <x v="305"/>
    <x v="4"/>
  </r>
  <r>
    <x v="9"/>
    <x v="12"/>
    <x v="306"/>
    <x v="306"/>
    <x v="9"/>
    <x v="12"/>
    <x v="12"/>
    <x v="306"/>
    <x v="4"/>
  </r>
  <r>
    <x v="10"/>
    <x v="12"/>
    <x v="307"/>
    <x v="307"/>
    <x v="9"/>
    <x v="12"/>
    <x v="12"/>
    <x v="307"/>
    <x v="0"/>
  </r>
  <r>
    <x v="11"/>
    <x v="12"/>
    <x v="308"/>
    <x v="308"/>
    <x v="9"/>
    <x v="12"/>
    <x v="12"/>
    <x v="308"/>
    <x v="4"/>
  </r>
  <r>
    <x v="12"/>
    <x v="12"/>
    <x v="309"/>
    <x v="309"/>
    <x v="9"/>
    <x v="12"/>
    <x v="12"/>
    <x v="309"/>
    <x v="1"/>
  </r>
  <r>
    <x v="13"/>
    <x v="12"/>
    <x v="310"/>
    <x v="310"/>
    <x v="9"/>
    <x v="12"/>
    <x v="12"/>
    <x v="310"/>
    <x v="2"/>
  </r>
  <r>
    <x v="14"/>
    <x v="12"/>
    <x v="311"/>
    <x v="311"/>
    <x v="9"/>
    <x v="12"/>
    <x v="12"/>
    <x v="311"/>
    <x v="2"/>
  </r>
  <r>
    <x v="15"/>
    <x v="12"/>
    <x v="312"/>
    <x v="312"/>
    <x v="9"/>
    <x v="12"/>
    <x v="12"/>
    <x v="312"/>
    <x v="3"/>
  </r>
  <r>
    <x v="16"/>
    <x v="13"/>
    <x v="313"/>
    <x v="313"/>
    <x v="10"/>
    <x v="13"/>
    <x v="13"/>
    <x v="313"/>
    <x v="4"/>
  </r>
  <r>
    <x v="17"/>
    <x v="12"/>
    <x v="314"/>
    <x v="314"/>
    <x v="9"/>
    <x v="12"/>
    <x v="12"/>
    <x v="314"/>
    <x v="1"/>
  </r>
  <r>
    <x v="18"/>
    <x v="12"/>
    <x v="315"/>
    <x v="315"/>
    <x v="9"/>
    <x v="12"/>
    <x v="12"/>
    <x v="315"/>
    <x v="4"/>
  </r>
  <r>
    <x v="19"/>
    <x v="12"/>
    <x v="316"/>
    <x v="316"/>
    <x v="9"/>
    <x v="12"/>
    <x v="12"/>
    <x v="316"/>
    <x v="3"/>
  </r>
  <r>
    <x v="20"/>
    <x v="12"/>
    <x v="317"/>
    <x v="317"/>
    <x v="9"/>
    <x v="12"/>
    <x v="12"/>
    <x v="317"/>
    <x v="2"/>
  </r>
  <r>
    <x v="21"/>
    <x v="12"/>
    <x v="318"/>
    <x v="318"/>
    <x v="9"/>
    <x v="12"/>
    <x v="12"/>
    <x v="318"/>
    <x v="0"/>
  </r>
  <r>
    <x v="22"/>
    <x v="12"/>
    <x v="319"/>
    <x v="319"/>
    <x v="9"/>
    <x v="12"/>
    <x v="12"/>
    <x v="319"/>
    <x v="4"/>
  </r>
  <r>
    <x v="23"/>
    <x v="12"/>
    <x v="320"/>
    <x v="320"/>
    <x v="9"/>
    <x v="12"/>
    <x v="12"/>
    <x v="320"/>
    <x v="3"/>
  </r>
  <r>
    <x v="24"/>
    <x v="12"/>
    <x v="321"/>
    <x v="321"/>
    <x v="9"/>
    <x v="12"/>
    <x v="12"/>
    <x v="321"/>
    <x v="3"/>
  </r>
  <r>
    <x v="25"/>
    <x v="12"/>
    <x v="322"/>
    <x v="322"/>
    <x v="9"/>
    <x v="12"/>
    <x v="12"/>
    <x v="322"/>
    <x v="3"/>
  </r>
  <r>
    <x v="26"/>
    <x v="12"/>
    <x v="323"/>
    <x v="323"/>
    <x v="9"/>
    <x v="12"/>
    <x v="12"/>
    <x v="323"/>
    <x v="2"/>
  </r>
  <r>
    <x v="3"/>
    <x v="13"/>
    <x v="324"/>
    <x v="324"/>
    <x v="10"/>
    <x v="13"/>
    <x v="13"/>
    <x v="324"/>
    <x v="1"/>
  </r>
  <r>
    <x v="4"/>
    <x v="13"/>
    <x v="325"/>
    <x v="325"/>
    <x v="10"/>
    <x v="13"/>
    <x v="13"/>
    <x v="325"/>
    <x v="2"/>
  </r>
  <r>
    <x v="5"/>
    <x v="13"/>
    <x v="326"/>
    <x v="326"/>
    <x v="10"/>
    <x v="13"/>
    <x v="13"/>
    <x v="326"/>
    <x v="1"/>
  </r>
  <r>
    <x v="6"/>
    <x v="13"/>
    <x v="327"/>
    <x v="327"/>
    <x v="10"/>
    <x v="13"/>
    <x v="13"/>
    <x v="327"/>
    <x v="3"/>
  </r>
  <r>
    <x v="7"/>
    <x v="13"/>
    <x v="328"/>
    <x v="328"/>
    <x v="10"/>
    <x v="13"/>
    <x v="13"/>
    <x v="328"/>
    <x v="3"/>
  </r>
  <r>
    <x v="9"/>
    <x v="13"/>
    <x v="329"/>
    <x v="329"/>
    <x v="10"/>
    <x v="13"/>
    <x v="13"/>
    <x v="329"/>
    <x v="4"/>
  </r>
  <r>
    <x v="10"/>
    <x v="13"/>
    <x v="330"/>
    <x v="330"/>
    <x v="10"/>
    <x v="13"/>
    <x v="13"/>
    <x v="330"/>
    <x v="0"/>
  </r>
  <r>
    <x v="11"/>
    <x v="13"/>
    <x v="331"/>
    <x v="331"/>
    <x v="10"/>
    <x v="13"/>
    <x v="13"/>
    <x v="331"/>
    <x v="4"/>
  </r>
  <r>
    <x v="12"/>
    <x v="13"/>
    <x v="332"/>
    <x v="332"/>
    <x v="10"/>
    <x v="13"/>
    <x v="13"/>
    <x v="332"/>
    <x v="1"/>
  </r>
  <r>
    <x v="13"/>
    <x v="13"/>
    <x v="333"/>
    <x v="333"/>
    <x v="10"/>
    <x v="13"/>
    <x v="13"/>
    <x v="333"/>
    <x v="2"/>
  </r>
  <r>
    <x v="14"/>
    <x v="13"/>
    <x v="334"/>
    <x v="334"/>
    <x v="10"/>
    <x v="13"/>
    <x v="13"/>
    <x v="334"/>
    <x v="2"/>
  </r>
  <r>
    <x v="15"/>
    <x v="13"/>
    <x v="335"/>
    <x v="335"/>
    <x v="10"/>
    <x v="13"/>
    <x v="13"/>
    <x v="335"/>
    <x v="3"/>
  </r>
  <r>
    <x v="17"/>
    <x v="13"/>
    <x v="336"/>
    <x v="336"/>
    <x v="10"/>
    <x v="13"/>
    <x v="13"/>
    <x v="336"/>
    <x v="1"/>
  </r>
  <r>
    <x v="0"/>
    <x v="12"/>
    <x v="337"/>
    <x v="337"/>
    <x v="9"/>
    <x v="12"/>
    <x v="12"/>
    <x v="337"/>
    <x v="0"/>
  </r>
  <r>
    <x v="18"/>
    <x v="13"/>
    <x v="338"/>
    <x v="338"/>
    <x v="10"/>
    <x v="13"/>
    <x v="13"/>
    <x v="338"/>
    <x v="4"/>
  </r>
  <r>
    <x v="1"/>
    <x v="12"/>
    <x v="339"/>
    <x v="339"/>
    <x v="9"/>
    <x v="12"/>
    <x v="12"/>
    <x v="339"/>
    <x v="0"/>
  </r>
  <r>
    <x v="19"/>
    <x v="13"/>
    <x v="340"/>
    <x v="340"/>
    <x v="10"/>
    <x v="13"/>
    <x v="13"/>
    <x v="340"/>
    <x v="3"/>
  </r>
  <r>
    <x v="20"/>
    <x v="13"/>
    <x v="341"/>
    <x v="341"/>
    <x v="10"/>
    <x v="13"/>
    <x v="13"/>
    <x v="341"/>
    <x v="2"/>
  </r>
  <r>
    <x v="2"/>
    <x v="12"/>
    <x v="342"/>
    <x v="342"/>
    <x v="9"/>
    <x v="12"/>
    <x v="12"/>
    <x v="342"/>
    <x v="0"/>
  </r>
  <r>
    <x v="21"/>
    <x v="13"/>
    <x v="343"/>
    <x v="343"/>
    <x v="10"/>
    <x v="13"/>
    <x v="13"/>
    <x v="343"/>
    <x v="0"/>
  </r>
  <r>
    <x v="22"/>
    <x v="13"/>
    <x v="344"/>
    <x v="344"/>
    <x v="10"/>
    <x v="13"/>
    <x v="13"/>
    <x v="344"/>
    <x v="4"/>
  </r>
  <r>
    <x v="23"/>
    <x v="13"/>
    <x v="345"/>
    <x v="345"/>
    <x v="10"/>
    <x v="13"/>
    <x v="13"/>
    <x v="345"/>
    <x v="3"/>
  </r>
  <r>
    <x v="24"/>
    <x v="13"/>
    <x v="346"/>
    <x v="346"/>
    <x v="10"/>
    <x v="13"/>
    <x v="13"/>
    <x v="346"/>
    <x v="3"/>
  </r>
  <r>
    <x v="25"/>
    <x v="13"/>
    <x v="347"/>
    <x v="347"/>
    <x v="10"/>
    <x v="13"/>
    <x v="13"/>
    <x v="347"/>
    <x v="3"/>
  </r>
  <r>
    <x v="26"/>
    <x v="13"/>
    <x v="348"/>
    <x v="348"/>
    <x v="10"/>
    <x v="13"/>
    <x v="13"/>
    <x v="348"/>
    <x v="2"/>
  </r>
  <r>
    <x v="8"/>
    <x v="14"/>
    <x v="349"/>
    <x v="349"/>
    <x v="0"/>
    <x v="14"/>
    <x v="14"/>
    <x v="349"/>
    <x v="4"/>
  </r>
  <r>
    <x v="16"/>
    <x v="14"/>
    <x v="350"/>
    <x v="350"/>
    <x v="0"/>
    <x v="14"/>
    <x v="14"/>
    <x v="350"/>
    <x v="4"/>
  </r>
  <r>
    <x v="0"/>
    <x v="13"/>
    <x v="351"/>
    <x v="351"/>
    <x v="10"/>
    <x v="13"/>
    <x v="13"/>
    <x v="351"/>
    <x v="0"/>
  </r>
  <r>
    <x v="1"/>
    <x v="13"/>
    <x v="352"/>
    <x v="352"/>
    <x v="10"/>
    <x v="13"/>
    <x v="13"/>
    <x v="352"/>
    <x v="0"/>
  </r>
  <r>
    <x v="2"/>
    <x v="13"/>
    <x v="353"/>
    <x v="353"/>
    <x v="10"/>
    <x v="13"/>
    <x v="13"/>
    <x v="353"/>
    <x v="0"/>
  </r>
  <r>
    <x v="3"/>
    <x v="14"/>
    <x v="354"/>
    <x v="354"/>
    <x v="0"/>
    <x v="14"/>
    <x v="14"/>
    <x v="354"/>
    <x v="1"/>
  </r>
  <r>
    <x v="4"/>
    <x v="14"/>
    <x v="355"/>
    <x v="355"/>
    <x v="0"/>
    <x v="14"/>
    <x v="14"/>
    <x v="355"/>
    <x v="2"/>
  </r>
  <r>
    <x v="5"/>
    <x v="14"/>
    <x v="266"/>
    <x v="356"/>
    <x v="0"/>
    <x v="14"/>
    <x v="14"/>
    <x v="356"/>
    <x v="1"/>
  </r>
  <r>
    <x v="6"/>
    <x v="14"/>
    <x v="356"/>
    <x v="357"/>
    <x v="0"/>
    <x v="14"/>
    <x v="14"/>
    <x v="357"/>
    <x v="3"/>
  </r>
  <r>
    <x v="7"/>
    <x v="14"/>
    <x v="357"/>
    <x v="358"/>
    <x v="0"/>
    <x v="14"/>
    <x v="14"/>
    <x v="358"/>
    <x v="3"/>
  </r>
  <r>
    <x v="9"/>
    <x v="14"/>
    <x v="358"/>
    <x v="359"/>
    <x v="0"/>
    <x v="14"/>
    <x v="14"/>
    <x v="359"/>
    <x v="4"/>
  </r>
  <r>
    <x v="10"/>
    <x v="15"/>
    <x v="359"/>
    <x v="360"/>
    <x v="11"/>
    <x v="15"/>
    <x v="15"/>
    <x v="360"/>
    <x v="0"/>
  </r>
  <r>
    <x v="11"/>
    <x v="14"/>
    <x v="360"/>
    <x v="361"/>
    <x v="0"/>
    <x v="14"/>
    <x v="14"/>
    <x v="361"/>
    <x v="4"/>
  </r>
  <r>
    <x v="12"/>
    <x v="14"/>
    <x v="361"/>
    <x v="362"/>
    <x v="0"/>
    <x v="14"/>
    <x v="14"/>
    <x v="362"/>
    <x v="1"/>
  </r>
  <r>
    <x v="13"/>
    <x v="14"/>
    <x v="362"/>
    <x v="363"/>
    <x v="0"/>
    <x v="14"/>
    <x v="14"/>
    <x v="363"/>
    <x v="2"/>
  </r>
  <r>
    <x v="14"/>
    <x v="14"/>
    <x v="363"/>
    <x v="364"/>
    <x v="0"/>
    <x v="14"/>
    <x v="14"/>
    <x v="364"/>
    <x v="2"/>
  </r>
  <r>
    <x v="15"/>
    <x v="14"/>
    <x v="364"/>
    <x v="365"/>
    <x v="0"/>
    <x v="14"/>
    <x v="14"/>
    <x v="365"/>
    <x v="3"/>
  </r>
  <r>
    <x v="17"/>
    <x v="14"/>
    <x v="365"/>
    <x v="366"/>
    <x v="0"/>
    <x v="14"/>
    <x v="14"/>
    <x v="366"/>
    <x v="1"/>
  </r>
  <r>
    <x v="18"/>
    <x v="14"/>
    <x v="366"/>
    <x v="367"/>
    <x v="0"/>
    <x v="14"/>
    <x v="14"/>
    <x v="367"/>
    <x v="4"/>
  </r>
  <r>
    <x v="19"/>
    <x v="14"/>
    <x v="367"/>
    <x v="368"/>
    <x v="0"/>
    <x v="14"/>
    <x v="14"/>
    <x v="368"/>
    <x v="3"/>
  </r>
  <r>
    <x v="20"/>
    <x v="14"/>
    <x v="368"/>
    <x v="369"/>
    <x v="0"/>
    <x v="14"/>
    <x v="14"/>
    <x v="369"/>
    <x v="2"/>
  </r>
  <r>
    <x v="21"/>
    <x v="14"/>
    <x v="369"/>
    <x v="370"/>
    <x v="0"/>
    <x v="14"/>
    <x v="14"/>
    <x v="370"/>
    <x v="0"/>
  </r>
  <r>
    <x v="22"/>
    <x v="14"/>
    <x v="370"/>
    <x v="371"/>
    <x v="0"/>
    <x v="14"/>
    <x v="14"/>
    <x v="371"/>
    <x v="4"/>
  </r>
  <r>
    <x v="23"/>
    <x v="14"/>
    <x v="371"/>
    <x v="372"/>
    <x v="0"/>
    <x v="14"/>
    <x v="14"/>
    <x v="372"/>
    <x v="3"/>
  </r>
  <r>
    <x v="24"/>
    <x v="14"/>
    <x v="372"/>
    <x v="373"/>
    <x v="0"/>
    <x v="14"/>
    <x v="14"/>
    <x v="373"/>
    <x v="3"/>
  </r>
  <r>
    <x v="25"/>
    <x v="14"/>
    <x v="373"/>
    <x v="374"/>
    <x v="0"/>
    <x v="14"/>
    <x v="14"/>
    <x v="374"/>
    <x v="3"/>
  </r>
  <r>
    <x v="26"/>
    <x v="14"/>
    <x v="374"/>
    <x v="375"/>
    <x v="0"/>
    <x v="14"/>
    <x v="14"/>
    <x v="375"/>
    <x v="2"/>
  </r>
  <r>
    <x v="10"/>
    <x v="14"/>
    <x v="375"/>
    <x v="376"/>
    <x v="0"/>
    <x v="14"/>
    <x v="14"/>
    <x v="376"/>
    <x v="0"/>
  </r>
  <r>
    <x v="27"/>
    <x v="0"/>
    <x v="376"/>
    <x v="377"/>
    <x v="0"/>
    <x v="0"/>
    <x v="0"/>
    <x v="377"/>
    <x v="5"/>
  </r>
  <r>
    <x v="0"/>
    <x v="16"/>
    <x v="377"/>
    <x v="378"/>
    <x v="12"/>
    <x v="16"/>
    <x v="16"/>
    <x v="378"/>
    <x v="0"/>
  </r>
  <r>
    <x v="1"/>
    <x v="15"/>
    <x v="378"/>
    <x v="379"/>
    <x v="11"/>
    <x v="15"/>
    <x v="15"/>
    <x v="379"/>
    <x v="0"/>
  </r>
  <r>
    <x v="28"/>
    <x v="0"/>
    <x v="379"/>
    <x v="380"/>
    <x v="0"/>
    <x v="0"/>
    <x v="0"/>
    <x v="380"/>
    <x v="0"/>
  </r>
  <r>
    <x v="2"/>
    <x v="15"/>
    <x v="380"/>
    <x v="381"/>
    <x v="11"/>
    <x v="15"/>
    <x v="15"/>
    <x v="381"/>
    <x v="0"/>
  </r>
  <r>
    <x v="29"/>
    <x v="1"/>
    <x v="381"/>
    <x v="382"/>
    <x v="1"/>
    <x v="1"/>
    <x v="1"/>
    <x v="382"/>
    <x v="0"/>
  </r>
  <r>
    <x v="30"/>
    <x v="1"/>
    <x v="382"/>
    <x v="383"/>
    <x v="1"/>
    <x v="1"/>
    <x v="1"/>
    <x v="383"/>
    <x v="2"/>
  </r>
  <r>
    <x v="0"/>
    <x v="17"/>
    <x v="383"/>
    <x v="384"/>
    <x v="13"/>
    <x v="17"/>
    <x v="17"/>
    <x v="384"/>
    <x v="0"/>
  </r>
  <r>
    <x v="31"/>
    <x v="1"/>
    <x v="384"/>
    <x v="385"/>
    <x v="1"/>
    <x v="1"/>
    <x v="1"/>
    <x v="385"/>
    <x v="1"/>
  </r>
  <r>
    <x v="1"/>
    <x v="14"/>
    <x v="385"/>
    <x v="386"/>
    <x v="0"/>
    <x v="14"/>
    <x v="14"/>
    <x v="386"/>
    <x v="0"/>
  </r>
  <r>
    <x v="2"/>
    <x v="14"/>
    <x v="386"/>
    <x v="387"/>
    <x v="0"/>
    <x v="14"/>
    <x v="14"/>
    <x v="387"/>
    <x v="0"/>
  </r>
  <r>
    <x v="32"/>
    <x v="1"/>
    <x v="387"/>
    <x v="388"/>
    <x v="1"/>
    <x v="1"/>
    <x v="1"/>
    <x v="388"/>
    <x v="2"/>
  </r>
  <r>
    <x v="33"/>
    <x v="1"/>
    <x v="388"/>
    <x v="389"/>
    <x v="1"/>
    <x v="1"/>
    <x v="1"/>
    <x v="389"/>
    <x v="1"/>
  </r>
  <r>
    <x v="34"/>
    <x v="1"/>
    <x v="389"/>
    <x v="390"/>
    <x v="1"/>
    <x v="1"/>
    <x v="1"/>
    <x v="390"/>
    <x v="1"/>
  </r>
  <r>
    <x v="27"/>
    <x v="1"/>
    <x v="390"/>
    <x v="391"/>
    <x v="1"/>
    <x v="1"/>
    <x v="1"/>
    <x v="391"/>
    <x v="5"/>
  </r>
  <r>
    <x v="0"/>
    <x v="15"/>
    <x v="391"/>
    <x v="392"/>
    <x v="11"/>
    <x v="15"/>
    <x v="15"/>
    <x v="392"/>
    <x v="0"/>
  </r>
  <r>
    <x v="28"/>
    <x v="1"/>
    <x v="392"/>
    <x v="393"/>
    <x v="1"/>
    <x v="1"/>
    <x v="1"/>
    <x v="393"/>
    <x v="0"/>
  </r>
  <r>
    <x v="29"/>
    <x v="2"/>
    <x v="393"/>
    <x v="394"/>
    <x v="2"/>
    <x v="2"/>
    <x v="2"/>
    <x v="394"/>
    <x v="0"/>
  </r>
  <r>
    <x v="30"/>
    <x v="2"/>
    <x v="394"/>
    <x v="395"/>
    <x v="2"/>
    <x v="2"/>
    <x v="2"/>
    <x v="395"/>
    <x v="2"/>
  </r>
  <r>
    <x v="27"/>
    <x v="2"/>
    <x v="395"/>
    <x v="396"/>
    <x v="2"/>
    <x v="2"/>
    <x v="2"/>
    <x v="396"/>
    <x v="5"/>
  </r>
  <r>
    <x v="0"/>
    <x v="14"/>
    <x v="396"/>
    <x v="397"/>
    <x v="0"/>
    <x v="14"/>
    <x v="14"/>
    <x v="397"/>
    <x v="0"/>
  </r>
  <r>
    <x v="31"/>
    <x v="2"/>
    <x v="397"/>
    <x v="398"/>
    <x v="2"/>
    <x v="2"/>
    <x v="2"/>
    <x v="398"/>
    <x v="1"/>
  </r>
  <r>
    <x v="32"/>
    <x v="2"/>
    <x v="398"/>
    <x v="399"/>
    <x v="2"/>
    <x v="2"/>
    <x v="2"/>
    <x v="399"/>
    <x v="2"/>
  </r>
  <r>
    <x v="33"/>
    <x v="2"/>
    <x v="399"/>
    <x v="400"/>
    <x v="2"/>
    <x v="2"/>
    <x v="2"/>
    <x v="400"/>
    <x v="1"/>
  </r>
  <r>
    <x v="34"/>
    <x v="2"/>
    <x v="400"/>
    <x v="401"/>
    <x v="2"/>
    <x v="2"/>
    <x v="2"/>
    <x v="401"/>
    <x v="1"/>
  </r>
  <r>
    <x v="29"/>
    <x v="3"/>
    <x v="401"/>
    <x v="402"/>
    <x v="3"/>
    <x v="3"/>
    <x v="3"/>
    <x v="402"/>
    <x v="0"/>
  </r>
  <r>
    <x v="30"/>
    <x v="3"/>
    <x v="402"/>
    <x v="403"/>
    <x v="3"/>
    <x v="3"/>
    <x v="3"/>
    <x v="403"/>
    <x v="2"/>
  </r>
  <r>
    <x v="27"/>
    <x v="3"/>
    <x v="403"/>
    <x v="404"/>
    <x v="3"/>
    <x v="3"/>
    <x v="3"/>
    <x v="404"/>
    <x v="5"/>
  </r>
  <r>
    <x v="31"/>
    <x v="3"/>
    <x v="404"/>
    <x v="405"/>
    <x v="3"/>
    <x v="3"/>
    <x v="3"/>
    <x v="405"/>
    <x v="1"/>
  </r>
  <r>
    <x v="28"/>
    <x v="2"/>
    <x v="405"/>
    <x v="406"/>
    <x v="2"/>
    <x v="2"/>
    <x v="2"/>
    <x v="406"/>
    <x v="0"/>
  </r>
  <r>
    <x v="32"/>
    <x v="3"/>
    <x v="406"/>
    <x v="407"/>
    <x v="3"/>
    <x v="3"/>
    <x v="3"/>
    <x v="407"/>
    <x v="2"/>
  </r>
  <r>
    <x v="33"/>
    <x v="3"/>
    <x v="246"/>
    <x v="408"/>
    <x v="3"/>
    <x v="3"/>
    <x v="3"/>
    <x v="408"/>
    <x v="1"/>
  </r>
  <r>
    <x v="34"/>
    <x v="3"/>
    <x v="407"/>
    <x v="409"/>
    <x v="3"/>
    <x v="3"/>
    <x v="3"/>
    <x v="409"/>
    <x v="1"/>
  </r>
  <r>
    <x v="28"/>
    <x v="3"/>
    <x v="408"/>
    <x v="410"/>
    <x v="3"/>
    <x v="3"/>
    <x v="3"/>
    <x v="410"/>
    <x v="0"/>
  </r>
  <r>
    <x v="29"/>
    <x v="4"/>
    <x v="409"/>
    <x v="411"/>
    <x v="4"/>
    <x v="4"/>
    <x v="4"/>
    <x v="411"/>
    <x v="0"/>
  </r>
  <r>
    <x v="30"/>
    <x v="4"/>
    <x v="410"/>
    <x v="412"/>
    <x v="4"/>
    <x v="4"/>
    <x v="4"/>
    <x v="412"/>
    <x v="2"/>
  </r>
  <r>
    <x v="27"/>
    <x v="4"/>
    <x v="411"/>
    <x v="413"/>
    <x v="4"/>
    <x v="4"/>
    <x v="4"/>
    <x v="413"/>
    <x v="5"/>
  </r>
  <r>
    <x v="31"/>
    <x v="4"/>
    <x v="412"/>
    <x v="414"/>
    <x v="4"/>
    <x v="4"/>
    <x v="4"/>
    <x v="414"/>
    <x v="1"/>
  </r>
  <r>
    <x v="32"/>
    <x v="4"/>
    <x v="413"/>
    <x v="415"/>
    <x v="4"/>
    <x v="4"/>
    <x v="4"/>
    <x v="415"/>
    <x v="2"/>
  </r>
  <r>
    <x v="33"/>
    <x v="4"/>
    <x v="414"/>
    <x v="416"/>
    <x v="4"/>
    <x v="4"/>
    <x v="4"/>
    <x v="416"/>
    <x v="1"/>
  </r>
  <r>
    <x v="34"/>
    <x v="4"/>
    <x v="415"/>
    <x v="417"/>
    <x v="4"/>
    <x v="4"/>
    <x v="4"/>
    <x v="417"/>
    <x v="1"/>
  </r>
  <r>
    <x v="28"/>
    <x v="4"/>
    <x v="416"/>
    <x v="418"/>
    <x v="4"/>
    <x v="4"/>
    <x v="4"/>
    <x v="418"/>
    <x v="0"/>
  </r>
  <r>
    <x v="29"/>
    <x v="5"/>
    <x v="417"/>
    <x v="419"/>
    <x v="5"/>
    <x v="5"/>
    <x v="5"/>
    <x v="419"/>
    <x v="0"/>
  </r>
  <r>
    <x v="30"/>
    <x v="5"/>
    <x v="418"/>
    <x v="420"/>
    <x v="5"/>
    <x v="5"/>
    <x v="5"/>
    <x v="420"/>
    <x v="2"/>
  </r>
  <r>
    <x v="27"/>
    <x v="5"/>
    <x v="419"/>
    <x v="421"/>
    <x v="5"/>
    <x v="5"/>
    <x v="5"/>
    <x v="421"/>
    <x v="5"/>
  </r>
  <r>
    <x v="31"/>
    <x v="5"/>
    <x v="420"/>
    <x v="422"/>
    <x v="5"/>
    <x v="5"/>
    <x v="5"/>
    <x v="422"/>
    <x v="1"/>
  </r>
  <r>
    <x v="32"/>
    <x v="5"/>
    <x v="421"/>
    <x v="423"/>
    <x v="5"/>
    <x v="5"/>
    <x v="5"/>
    <x v="423"/>
    <x v="2"/>
  </r>
  <r>
    <x v="33"/>
    <x v="5"/>
    <x v="422"/>
    <x v="424"/>
    <x v="5"/>
    <x v="5"/>
    <x v="5"/>
    <x v="424"/>
    <x v="1"/>
  </r>
  <r>
    <x v="34"/>
    <x v="5"/>
    <x v="423"/>
    <x v="425"/>
    <x v="5"/>
    <x v="5"/>
    <x v="5"/>
    <x v="425"/>
    <x v="1"/>
  </r>
  <r>
    <x v="29"/>
    <x v="6"/>
    <x v="424"/>
    <x v="426"/>
    <x v="6"/>
    <x v="6"/>
    <x v="6"/>
    <x v="426"/>
    <x v="0"/>
  </r>
  <r>
    <x v="30"/>
    <x v="6"/>
    <x v="425"/>
    <x v="427"/>
    <x v="6"/>
    <x v="6"/>
    <x v="6"/>
    <x v="427"/>
    <x v="2"/>
  </r>
  <r>
    <x v="27"/>
    <x v="6"/>
    <x v="426"/>
    <x v="428"/>
    <x v="6"/>
    <x v="6"/>
    <x v="6"/>
    <x v="428"/>
    <x v="5"/>
  </r>
  <r>
    <x v="31"/>
    <x v="6"/>
    <x v="427"/>
    <x v="429"/>
    <x v="6"/>
    <x v="6"/>
    <x v="6"/>
    <x v="429"/>
    <x v="1"/>
  </r>
  <r>
    <x v="28"/>
    <x v="5"/>
    <x v="428"/>
    <x v="430"/>
    <x v="5"/>
    <x v="5"/>
    <x v="5"/>
    <x v="430"/>
    <x v="0"/>
  </r>
  <r>
    <x v="32"/>
    <x v="6"/>
    <x v="429"/>
    <x v="431"/>
    <x v="6"/>
    <x v="6"/>
    <x v="6"/>
    <x v="431"/>
    <x v="2"/>
  </r>
  <r>
    <x v="33"/>
    <x v="6"/>
    <x v="430"/>
    <x v="432"/>
    <x v="6"/>
    <x v="6"/>
    <x v="6"/>
    <x v="432"/>
    <x v="1"/>
  </r>
  <r>
    <x v="34"/>
    <x v="6"/>
    <x v="431"/>
    <x v="433"/>
    <x v="6"/>
    <x v="6"/>
    <x v="6"/>
    <x v="433"/>
    <x v="1"/>
  </r>
  <r>
    <x v="29"/>
    <x v="7"/>
    <x v="432"/>
    <x v="434"/>
    <x v="7"/>
    <x v="7"/>
    <x v="7"/>
    <x v="434"/>
    <x v="0"/>
  </r>
  <r>
    <x v="30"/>
    <x v="7"/>
    <x v="433"/>
    <x v="435"/>
    <x v="7"/>
    <x v="7"/>
    <x v="7"/>
    <x v="435"/>
    <x v="2"/>
  </r>
  <r>
    <x v="27"/>
    <x v="7"/>
    <x v="434"/>
    <x v="436"/>
    <x v="7"/>
    <x v="7"/>
    <x v="7"/>
    <x v="436"/>
    <x v="5"/>
  </r>
  <r>
    <x v="31"/>
    <x v="7"/>
    <x v="435"/>
    <x v="437"/>
    <x v="7"/>
    <x v="7"/>
    <x v="7"/>
    <x v="437"/>
    <x v="1"/>
  </r>
  <r>
    <x v="28"/>
    <x v="6"/>
    <x v="436"/>
    <x v="438"/>
    <x v="6"/>
    <x v="6"/>
    <x v="6"/>
    <x v="438"/>
    <x v="0"/>
  </r>
  <r>
    <x v="32"/>
    <x v="7"/>
    <x v="437"/>
    <x v="439"/>
    <x v="7"/>
    <x v="7"/>
    <x v="7"/>
    <x v="439"/>
    <x v="2"/>
  </r>
  <r>
    <x v="33"/>
    <x v="7"/>
    <x v="438"/>
    <x v="440"/>
    <x v="7"/>
    <x v="7"/>
    <x v="7"/>
    <x v="440"/>
    <x v="1"/>
  </r>
  <r>
    <x v="34"/>
    <x v="7"/>
    <x v="439"/>
    <x v="441"/>
    <x v="7"/>
    <x v="7"/>
    <x v="7"/>
    <x v="441"/>
    <x v="1"/>
  </r>
  <r>
    <x v="29"/>
    <x v="8"/>
    <x v="440"/>
    <x v="442"/>
    <x v="8"/>
    <x v="8"/>
    <x v="8"/>
    <x v="442"/>
    <x v="0"/>
  </r>
  <r>
    <x v="30"/>
    <x v="8"/>
    <x v="441"/>
    <x v="443"/>
    <x v="8"/>
    <x v="8"/>
    <x v="8"/>
    <x v="443"/>
    <x v="2"/>
  </r>
  <r>
    <x v="27"/>
    <x v="8"/>
    <x v="442"/>
    <x v="444"/>
    <x v="8"/>
    <x v="8"/>
    <x v="8"/>
    <x v="444"/>
    <x v="5"/>
  </r>
  <r>
    <x v="31"/>
    <x v="8"/>
    <x v="443"/>
    <x v="445"/>
    <x v="8"/>
    <x v="8"/>
    <x v="8"/>
    <x v="445"/>
    <x v="1"/>
  </r>
  <r>
    <x v="28"/>
    <x v="7"/>
    <x v="444"/>
    <x v="446"/>
    <x v="7"/>
    <x v="7"/>
    <x v="7"/>
    <x v="446"/>
    <x v="0"/>
  </r>
  <r>
    <x v="32"/>
    <x v="8"/>
    <x v="445"/>
    <x v="447"/>
    <x v="8"/>
    <x v="8"/>
    <x v="8"/>
    <x v="447"/>
    <x v="2"/>
  </r>
  <r>
    <x v="33"/>
    <x v="8"/>
    <x v="446"/>
    <x v="448"/>
    <x v="8"/>
    <x v="8"/>
    <x v="8"/>
    <x v="448"/>
    <x v="1"/>
  </r>
  <r>
    <x v="34"/>
    <x v="8"/>
    <x v="447"/>
    <x v="449"/>
    <x v="8"/>
    <x v="8"/>
    <x v="8"/>
    <x v="449"/>
    <x v="1"/>
  </r>
  <r>
    <x v="28"/>
    <x v="8"/>
    <x v="448"/>
    <x v="450"/>
    <x v="8"/>
    <x v="8"/>
    <x v="8"/>
    <x v="450"/>
    <x v="0"/>
  </r>
  <r>
    <x v="29"/>
    <x v="9"/>
    <x v="449"/>
    <x v="451"/>
    <x v="0"/>
    <x v="9"/>
    <x v="9"/>
    <x v="451"/>
    <x v="0"/>
  </r>
  <r>
    <x v="30"/>
    <x v="9"/>
    <x v="450"/>
    <x v="452"/>
    <x v="0"/>
    <x v="9"/>
    <x v="9"/>
    <x v="452"/>
    <x v="2"/>
  </r>
  <r>
    <x v="27"/>
    <x v="9"/>
    <x v="451"/>
    <x v="453"/>
    <x v="0"/>
    <x v="9"/>
    <x v="9"/>
    <x v="453"/>
    <x v="5"/>
  </r>
  <r>
    <x v="31"/>
    <x v="9"/>
    <x v="452"/>
    <x v="454"/>
    <x v="0"/>
    <x v="9"/>
    <x v="9"/>
    <x v="454"/>
    <x v="1"/>
  </r>
  <r>
    <x v="32"/>
    <x v="9"/>
    <x v="453"/>
    <x v="455"/>
    <x v="0"/>
    <x v="9"/>
    <x v="9"/>
    <x v="455"/>
    <x v="2"/>
  </r>
  <r>
    <x v="33"/>
    <x v="9"/>
    <x v="454"/>
    <x v="456"/>
    <x v="0"/>
    <x v="9"/>
    <x v="9"/>
    <x v="456"/>
    <x v="1"/>
  </r>
  <r>
    <x v="34"/>
    <x v="9"/>
    <x v="455"/>
    <x v="457"/>
    <x v="0"/>
    <x v="9"/>
    <x v="9"/>
    <x v="457"/>
    <x v="1"/>
  </r>
  <r>
    <x v="29"/>
    <x v="10"/>
    <x v="456"/>
    <x v="458"/>
    <x v="0"/>
    <x v="10"/>
    <x v="10"/>
    <x v="458"/>
    <x v="0"/>
  </r>
  <r>
    <x v="30"/>
    <x v="10"/>
    <x v="457"/>
    <x v="459"/>
    <x v="0"/>
    <x v="10"/>
    <x v="10"/>
    <x v="459"/>
    <x v="2"/>
  </r>
  <r>
    <x v="27"/>
    <x v="10"/>
    <x v="458"/>
    <x v="460"/>
    <x v="0"/>
    <x v="10"/>
    <x v="10"/>
    <x v="460"/>
    <x v="5"/>
  </r>
  <r>
    <x v="31"/>
    <x v="10"/>
    <x v="459"/>
    <x v="461"/>
    <x v="0"/>
    <x v="10"/>
    <x v="10"/>
    <x v="461"/>
    <x v="1"/>
  </r>
  <r>
    <x v="28"/>
    <x v="9"/>
    <x v="460"/>
    <x v="462"/>
    <x v="0"/>
    <x v="9"/>
    <x v="9"/>
    <x v="462"/>
    <x v="0"/>
  </r>
  <r>
    <x v="32"/>
    <x v="10"/>
    <x v="461"/>
    <x v="463"/>
    <x v="0"/>
    <x v="10"/>
    <x v="10"/>
    <x v="463"/>
    <x v="2"/>
  </r>
  <r>
    <x v="33"/>
    <x v="10"/>
    <x v="462"/>
    <x v="464"/>
    <x v="0"/>
    <x v="10"/>
    <x v="10"/>
    <x v="464"/>
    <x v="1"/>
  </r>
  <r>
    <x v="34"/>
    <x v="10"/>
    <x v="463"/>
    <x v="465"/>
    <x v="0"/>
    <x v="10"/>
    <x v="10"/>
    <x v="465"/>
    <x v="1"/>
  </r>
  <r>
    <x v="29"/>
    <x v="11"/>
    <x v="464"/>
    <x v="466"/>
    <x v="1"/>
    <x v="11"/>
    <x v="11"/>
    <x v="466"/>
    <x v="0"/>
  </r>
  <r>
    <x v="30"/>
    <x v="11"/>
    <x v="465"/>
    <x v="467"/>
    <x v="1"/>
    <x v="11"/>
    <x v="11"/>
    <x v="467"/>
    <x v="2"/>
  </r>
  <r>
    <x v="27"/>
    <x v="11"/>
    <x v="466"/>
    <x v="468"/>
    <x v="1"/>
    <x v="11"/>
    <x v="11"/>
    <x v="468"/>
    <x v="5"/>
  </r>
  <r>
    <x v="31"/>
    <x v="11"/>
    <x v="467"/>
    <x v="469"/>
    <x v="1"/>
    <x v="11"/>
    <x v="11"/>
    <x v="469"/>
    <x v="1"/>
  </r>
  <r>
    <x v="28"/>
    <x v="10"/>
    <x v="468"/>
    <x v="470"/>
    <x v="0"/>
    <x v="10"/>
    <x v="10"/>
    <x v="470"/>
    <x v="0"/>
  </r>
  <r>
    <x v="32"/>
    <x v="11"/>
    <x v="469"/>
    <x v="471"/>
    <x v="1"/>
    <x v="11"/>
    <x v="11"/>
    <x v="471"/>
    <x v="2"/>
  </r>
  <r>
    <x v="33"/>
    <x v="11"/>
    <x v="470"/>
    <x v="472"/>
    <x v="1"/>
    <x v="11"/>
    <x v="11"/>
    <x v="472"/>
    <x v="1"/>
  </r>
  <r>
    <x v="34"/>
    <x v="11"/>
    <x v="471"/>
    <x v="473"/>
    <x v="1"/>
    <x v="11"/>
    <x v="11"/>
    <x v="473"/>
    <x v="1"/>
  </r>
  <r>
    <x v="28"/>
    <x v="11"/>
    <x v="472"/>
    <x v="474"/>
    <x v="1"/>
    <x v="11"/>
    <x v="11"/>
    <x v="474"/>
    <x v="0"/>
  </r>
  <r>
    <x v="29"/>
    <x v="12"/>
    <x v="473"/>
    <x v="475"/>
    <x v="9"/>
    <x v="12"/>
    <x v="12"/>
    <x v="475"/>
    <x v="0"/>
  </r>
  <r>
    <x v="30"/>
    <x v="12"/>
    <x v="474"/>
    <x v="476"/>
    <x v="9"/>
    <x v="12"/>
    <x v="12"/>
    <x v="476"/>
    <x v="2"/>
  </r>
  <r>
    <x v="27"/>
    <x v="12"/>
    <x v="475"/>
    <x v="477"/>
    <x v="9"/>
    <x v="12"/>
    <x v="12"/>
    <x v="477"/>
    <x v="5"/>
  </r>
  <r>
    <x v="31"/>
    <x v="12"/>
    <x v="476"/>
    <x v="478"/>
    <x v="9"/>
    <x v="12"/>
    <x v="12"/>
    <x v="478"/>
    <x v="1"/>
  </r>
  <r>
    <x v="32"/>
    <x v="12"/>
    <x v="477"/>
    <x v="479"/>
    <x v="9"/>
    <x v="12"/>
    <x v="12"/>
    <x v="479"/>
    <x v="2"/>
  </r>
  <r>
    <x v="33"/>
    <x v="12"/>
    <x v="478"/>
    <x v="480"/>
    <x v="9"/>
    <x v="12"/>
    <x v="12"/>
    <x v="480"/>
    <x v="1"/>
  </r>
  <r>
    <x v="34"/>
    <x v="12"/>
    <x v="479"/>
    <x v="481"/>
    <x v="9"/>
    <x v="12"/>
    <x v="12"/>
    <x v="481"/>
    <x v="1"/>
  </r>
  <r>
    <x v="29"/>
    <x v="13"/>
    <x v="480"/>
    <x v="482"/>
    <x v="10"/>
    <x v="13"/>
    <x v="13"/>
    <x v="482"/>
    <x v="0"/>
  </r>
  <r>
    <x v="30"/>
    <x v="13"/>
    <x v="481"/>
    <x v="483"/>
    <x v="10"/>
    <x v="13"/>
    <x v="13"/>
    <x v="483"/>
    <x v="2"/>
  </r>
  <r>
    <x v="27"/>
    <x v="13"/>
    <x v="482"/>
    <x v="484"/>
    <x v="10"/>
    <x v="13"/>
    <x v="13"/>
    <x v="484"/>
    <x v="5"/>
  </r>
  <r>
    <x v="31"/>
    <x v="13"/>
    <x v="483"/>
    <x v="485"/>
    <x v="10"/>
    <x v="13"/>
    <x v="13"/>
    <x v="485"/>
    <x v="1"/>
  </r>
  <r>
    <x v="28"/>
    <x v="12"/>
    <x v="484"/>
    <x v="486"/>
    <x v="9"/>
    <x v="12"/>
    <x v="12"/>
    <x v="486"/>
    <x v="0"/>
  </r>
  <r>
    <x v="32"/>
    <x v="13"/>
    <x v="485"/>
    <x v="487"/>
    <x v="10"/>
    <x v="13"/>
    <x v="13"/>
    <x v="487"/>
    <x v="2"/>
  </r>
  <r>
    <x v="33"/>
    <x v="13"/>
    <x v="486"/>
    <x v="488"/>
    <x v="10"/>
    <x v="13"/>
    <x v="13"/>
    <x v="488"/>
    <x v="1"/>
  </r>
  <r>
    <x v="34"/>
    <x v="13"/>
    <x v="487"/>
    <x v="489"/>
    <x v="10"/>
    <x v="13"/>
    <x v="13"/>
    <x v="489"/>
    <x v="1"/>
  </r>
  <r>
    <x v="28"/>
    <x v="13"/>
    <x v="488"/>
    <x v="490"/>
    <x v="10"/>
    <x v="13"/>
    <x v="13"/>
    <x v="490"/>
    <x v="0"/>
  </r>
  <r>
    <x v="29"/>
    <x v="15"/>
    <x v="489"/>
    <x v="491"/>
    <x v="11"/>
    <x v="15"/>
    <x v="15"/>
    <x v="491"/>
    <x v="0"/>
  </r>
  <r>
    <x v="30"/>
    <x v="14"/>
    <x v="490"/>
    <x v="492"/>
    <x v="0"/>
    <x v="14"/>
    <x v="14"/>
    <x v="492"/>
    <x v="2"/>
  </r>
  <r>
    <x v="27"/>
    <x v="16"/>
    <x v="491"/>
    <x v="493"/>
    <x v="12"/>
    <x v="16"/>
    <x v="16"/>
    <x v="493"/>
    <x v="5"/>
  </r>
  <r>
    <x v="31"/>
    <x v="14"/>
    <x v="492"/>
    <x v="494"/>
    <x v="0"/>
    <x v="14"/>
    <x v="14"/>
    <x v="494"/>
    <x v="1"/>
  </r>
  <r>
    <x v="32"/>
    <x v="14"/>
    <x v="493"/>
    <x v="495"/>
    <x v="0"/>
    <x v="14"/>
    <x v="14"/>
    <x v="495"/>
    <x v="2"/>
  </r>
  <r>
    <x v="33"/>
    <x v="14"/>
    <x v="494"/>
    <x v="496"/>
    <x v="0"/>
    <x v="14"/>
    <x v="14"/>
    <x v="496"/>
    <x v="1"/>
  </r>
  <r>
    <x v="34"/>
    <x v="14"/>
    <x v="495"/>
    <x v="497"/>
    <x v="0"/>
    <x v="14"/>
    <x v="14"/>
    <x v="497"/>
    <x v="1"/>
  </r>
  <r>
    <x v="29"/>
    <x v="14"/>
    <x v="496"/>
    <x v="498"/>
    <x v="0"/>
    <x v="14"/>
    <x v="14"/>
    <x v="498"/>
    <x v="0"/>
  </r>
  <r>
    <x v="27"/>
    <x v="17"/>
    <x v="497"/>
    <x v="499"/>
    <x v="13"/>
    <x v="17"/>
    <x v="17"/>
    <x v="499"/>
    <x v="5"/>
  </r>
  <r>
    <x v="28"/>
    <x v="15"/>
    <x v="498"/>
    <x v="500"/>
    <x v="11"/>
    <x v="15"/>
    <x v="15"/>
    <x v="500"/>
    <x v="0"/>
  </r>
  <r>
    <x v="27"/>
    <x v="15"/>
    <x v="499"/>
    <x v="501"/>
    <x v="11"/>
    <x v="15"/>
    <x v="15"/>
    <x v="501"/>
    <x v="5"/>
  </r>
  <r>
    <x v="28"/>
    <x v="14"/>
    <x v="500"/>
    <x v="502"/>
    <x v="0"/>
    <x v="14"/>
    <x v="14"/>
    <x v="502"/>
    <x v="0"/>
  </r>
  <r>
    <x v="27"/>
    <x v="14"/>
    <x v="501"/>
    <x v="503"/>
    <x v="0"/>
    <x v="14"/>
    <x v="14"/>
    <x v="50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_x000a_таблица2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>
  <location ref="A3:D22" firstHeaderRow="0" firstDataRow="1" firstDataCol="1" rowPageCount="1" colPageCount="1"/>
  <pivotFields count="10">
    <pivotField compact="0" numFmtId="180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axis="axisRow" compact="0" sortType="descending" showAll="0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503">
        <item x="265"/>
        <item x="497"/>
        <item x="249"/>
        <item x="383"/>
        <item x="491"/>
        <item x="251"/>
        <item x="377"/>
        <item x="247"/>
        <item x="376"/>
        <item x="60"/>
        <item x="0"/>
        <item x="259"/>
        <item x="70"/>
        <item x="255"/>
        <item x="379"/>
        <item x="489"/>
        <item x="380"/>
        <item x="261"/>
        <item x="2"/>
        <item x="268"/>
        <item x="76"/>
        <item x="404"/>
        <item x="267"/>
        <item x="58"/>
        <item x="72"/>
        <item x="63"/>
        <item x="499"/>
        <item x="498"/>
        <item x="80"/>
        <item x="358"/>
        <item x="1"/>
        <item x="366"/>
        <item x="66"/>
        <item x="257"/>
        <item x="56"/>
        <item x="391"/>
        <item x="359"/>
        <item x="59"/>
        <item x="492"/>
        <item x="79"/>
        <item x="357"/>
        <item x="462"/>
        <item x="68"/>
        <item x="378"/>
        <item x="64"/>
        <item x="252"/>
        <item x="403"/>
        <item x="55"/>
        <item x="62"/>
        <item x="406"/>
        <item x="373"/>
        <item x="356"/>
        <item x="61"/>
        <item x="245"/>
        <item x="370"/>
        <item x="246"/>
        <item x="253"/>
        <item x="463"/>
        <item x="452"/>
        <item x="349"/>
        <item x="250"/>
        <item x="75"/>
        <item x="223"/>
        <item x="225"/>
        <item x="67"/>
        <item x="461"/>
        <item x="367"/>
        <item x="401"/>
        <item x="78"/>
        <item x="350"/>
        <item x="254"/>
        <item x="459"/>
        <item x="269"/>
        <item x="241"/>
        <item x="81"/>
        <item x="238"/>
        <item x="228"/>
        <item x="77"/>
        <item x="234"/>
        <item x="372"/>
        <item x="224"/>
        <item x="83"/>
        <item x="65"/>
        <item x="243"/>
        <item x="456"/>
        <item x="57"/>
        <item x="264"/>
        <item x="232"/>
        <item x="266"/>
        <item x="361"/>
        <item x="360"/>
        <item x="495"/>
        <item x="494"/>
        <item x="288"/>
        <item x="364"/>
        <item x="222"/>
        <item x="235"/>
        <item x="262"/>
        <item x="362"/>
        <item x="501"/>
        <item x="54"/>
        <item x="453"/>
        <item x="233"/>
        <item x="454"/>
        <item x="375"/>
        <item x="407"/>
        <item x="355"/>
        <item x="240"/>
        <item x="493"/>
        <item x="371"/>
        <item x="365"/>
        <item x="82"/>
        <item x="73"/>
        <item x="283"/>
        <item x="408"/>
        <item x="363"/>
        <item x="496"/>
        <item x="221"/>
        <item x="386"/>
        <item x="457"/>
        <item x="369"/>
        <item x="231"/>
        <item x="396"/>
        <item x="244"/>
        <item x="354"/>
        <item x="239"/>
        <item x="458"/>
        <item x="455"/>
        <item x="263"/>
        <item x="229"/>
        <item x="220"/>
        <item x="451"/>
        <item x="500"/>
        <item x="490"/>
        <item x="468"/>
        <item x="227"/>
        <item x="374"/>
        <item x="237"/>
        <item x="230"/>
        <item x="226"/>
        <item x="258"/>
        <item x="368"/>
        <item x="285"/>
        <item x="402"/>
        <item x="449"/>
        <item x="242"/>
        <item x="275"/>
        <item x="219"/>
        <item x="90"/>
        <item x="460"/>
        <item x="385"/>
        <item x="284"/>
        <item x="450"/>
        <item x="236"/>
        <item x="96"/>
        <item x="97"/>
        <item x="99"/>
        <item x="274"/>
        <item x="467"/>
        <item x="103"/>
        <item x="286"/>
        <item x="100"/>
        <item x="292"/>
        <item x="256"/>
        <item x="105"/>
        <item x="279"/>
        <item x="106"/>
        <item x="278"/>
        <item x="282"/>
        <item x="7"/>
        <item x="470"/>
        <item x="92"/>
        <item x="248"/>
        <item x="89"/>
        <item x="93"/>
        <item x="18"/>
        <item x="293"/>
        <item x="273"/>
        <item x="281"/>
        <item x="195"/>
        <item x="98"/>
        <item x="16"/>
        <item x="25"/>
        <item x="88"/>
        <item x="276"/>
        <item x="469"/>
        <item x="384"/>
        <item x="260"/>
        <item x="414"/>
        <item x="290"/>
        <item x="466"/>
        <item x="464"/>
        <item x="299"/>
        <item x="12"/>
        <item x="272"/>
        <item x="289"/>
        <item x="413"/>
        <item x="280"/>
        <item x="271"/>
        <item x="9"/>
        <item x="194"/>
        <item x="17"/>
        <item x="471"/>
        <item x="8"/>
        <item x="24"/>
        <item x="201"/>
        <item x="388"/>
        <item x="294"/>
        <item x="205"/>
        <item x="95"/>
        <item x="207"/>
        <item x="22"/>
        <item x="86"/>
        <item x="102"/>
        <item x="193"/>
        <item x="465"/>
        <item x="29"/>
        <item x="6"/>
        <item x="291"/>
        <item x="211"/>
        <item x="409"/>
        <item x="13"/>
        <item x="387"/>
        <item x="297"/>
        <item x="104"/>
        <item x="91"/>
        <item x="15"/>
        <item x="94"/>
        <item x="4"/>
        <item x="107"/>
        <item x="390"/>
        <item x="110"/>
        <item x="5"/>
        <item x="87"/>
        <item x="411"/>
        <item x="202"/>
        <item x="192"/>
        <item x="108"/>
        <item x="198"/>
        <item x="85"/>
        <item x="11"/>
        <item x="19"/>
        <item x="443"/>
        <item x="472"/>
        <item x="381"/>
        <item x="214"/>
        <item x="415"/>
        <item x="10"/>
        <item x="446"/>
        <item x="14"/>
        <item x="389"/>
        <item x="26"/>
        <item x="213"/>
        <item x="270"/>
        <item x="298"/>
        <item x="191"/>
        <item x="277"/>
        <item x="416"/>
        <item x="392"/>
        <item x="84"/>
        <item x="203"/>
        <item x="21"/>
        <item x="382"/>
        <item x="23"/>
        <item x="445"/>
        <item x="287"/>
        <item x="27"/>
        <item x="212"/>
        <item x="410"/>
        <item x="101"/>
        <item x="215"/>
        <item x="190"/>
        <item x="210"/>
        <item x="3"/>
        <item x="109"/>
        <item x="440"/>
        <item x="442"/>
        <item x="196"/>
        <item x="199"/>
        <item x="200"/>
        <item x="218"/>
        <item x="447"/>
        <item x="412"/>
        <item x="216"/>
        <item x="20"/>
        <item x="208"/>
        <item x="28"/>
        <item x="189"/>
        <item x="448"/>
        <item x="168"/>
        <item x="197"/>
        <item x="217"/>
        <item x="441"/>
        <item x="435"/>
        <item x="36"/>
        <item x="186"/>
        <item x="180"/>
        <item x="438"/>
        <item x="166"/>
        <item x="171"/>
        <item x="434"/>
        <item x="183"/>
        <item x="174"/>
        <item x="169"/>
        <item x="46"/>
        <item x="432"/>
        <item x="51"/>
        <item x="33"/>
        <item x="209"/>
        <item x="437"/>
        <item x="399"/>
        <item x="178"/>
        <item x="187"/>
        <item x="39"/>
        <item x="397"/>
        <item x="164"/>
        <item x="34"/>
        <item x="176"/>
        <item x="172"/>
        <item x="175"/>
        <item x="52"/>
        <item x="188"/>
        <item x="167"/>
        <item x="439"/>
        <item x="163"/>
        <item x="433"/>
        <item x="204"/>
        <item x="42"/>
        <item x="53"/>
        <item x="48"/>
        <item x="45"/>
        <item x="395"/>
        <item x="49"/>
        <item x="32"/>
        <item x="398"/>
        <item x="74"/>
        <item x="184"/>
        <item x="393"/>
        <item x="44"/>
        <item x="400"/>
        <item x="40"/>
        <item x="35"/>
        <item x="37"/>
        <item x="162"/>
        <item x="43"/>
        <item x="170"/>
        <item x="165"/>
        <item x="31"/>
        <item x="50"/>
        <item x="444"/>
        <item x="405"/>
        <item x="30"/>
        <item x="185"/>
        <item x="69"/>
        <item x="181"/>
        <item x="41"/>
        <item x="38"/>
        <item x="394"/>
        <item x="173"/>
        <item x="47"/>
        <item x="206"/>
        <item x="71"/>
        <item x="483"/>
        <item x="476"/>
        <item x="329"/>
        <item x="327"/>
        <item x="482"/>
        <item x="326"/>
        <item x="306"/>
        <item x="486"/>
        <item x="303"/>
        <item x="336"/>
        <item x="475"/>
        <item x="332"/>
        <item x="353"/>
        <item x="309"/>
        <item x="343"/>
        <item x="302"/>
        <item x="348"/>
        <item x="314"/>
        <item x="313"/>
        <item x="485"/>
        <item x="478"/>
        <item x="318"/>
        <item x="342"/>
        <item x="323"/>
        <item x="477"/>
        <item x="305"/>
        <item x="480"/>
        <item x="335"/>
        <item x="296"/>
        <item x="344"/>
        <item x="351"/>
        <item x="295"/>
        <item x="347"/>
        <item x="325"/>
        <item x="312"/>
        <item x="333"/>
        <item x="319"/>
        <item x="481"/>
        <item x="334"/>
        <item x="337"/>
        <item x="473"/>
        <item x="340"/>
        <item x="322"/>
        <item x="311"/>
        <item x="487"/>
        <item x="301"/>
        <item x="328"/>
        <item x="310"/>
        <item x="316"/>
        <item x="346"/>
        <item x="324"/>
        <item x="488"/>
        <item x="331"/>
        <item x="474"/>
        <item x="479"/>
        <item x="345"/>
        <item x="484"/>
        <item x="330"/>
        <item x="321"/>
        <item x="117"/>
        <item x="300"/>
        <item x="420"/>
        <item x="304"/>
        <item x="308"/>
        <item x="320"/>
        <item x="352"/>
        <item x="307"/>
        <item x="339"/>
        <item x="133"/>
        <item x="338"/>
        <item x="315"/>
        <item x="125"/>
        <item x="123"/>
        <item x="129"/>
        <item x="113"/>
        <item x="419"/>
        <item x="421"/>
        <item x="422"/>
        <item x="126"/>
        <item x="341"/>
        <item x="112"/>
        <item x="118"/>
        <item x="127"/>
        <item x="155"/>
        <item x="120"/>
        <item x="115"/>
        <item x="114"/>
        <item x="124"/>
        <item x="417"/>
        <item x="131"/>
        <item x="134"/>
        <item x="121"/>
        <item x="317"/>
        <item x="150"/>
        <item x="119"/>
        <item x="141"/>
        <item x="116"/>
        <item x="122"/>
        <item x="418"/>
        <item x="130"/>
        <item x="427"/>
        <item x="423"/>
        <item x="160"/>
        <item x="111"/>
        <item x="147"/>
        <item x="151"/>
        <item x="426"/>
        <item x="156"/>
        <item x="149"/>
        <item x="429"/>
        <item x="153"/>
        <item x="128"/>
        <item x="137"/>
        <item x="430"/>
        <item x="138"/>
        <item x="139"/>
        <item x="136"/>
        <item x="182"/>
        <item x="152"/>
        <item x="158"/>
        <item x="142"/>
        <item x="424"/>
        <item x="132"/>
        <item x="143"/>
        <item x="144"/>
        <item x="161"/>
        <item x="148"/>
        <item x="145"/>
        <item x="177"/>
        <item x="140"/>
        <item x="146"/>
        <item x="425"/>
        <item x="157"/>
        <item x="431"/>
        <item x="135"/>
        <item x="428"/>
        <item x="179"/>
        <item x="154"/>
        <item x="159"/>
        <item x="436"/>
        <item t="default"/>
      </items>
    </pivotField>
    <pivotField dataField="1" compact="0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compact="0" showAll="0">
      <items count="15">
        <item x="13"/>
        <item x="11"/>
        <item x="12"/>
        <item x="3"/>
        <item x="0"/>
        <item x="4"/>
        <item x="1"/>
        <item x="8"/>
        <item x="2"/>
        <item x="7"/>
        <item x="10"/>
        <item x="9"/>
        <item x="6"/>
        <item x="5"/>
        <item t="default"/>
      </items>
    </pivotField>
    <pivotField compact="0" showAll="0">
      <items count="19">
        <item x="17"/>
        <item x="10"/>
        <item x="16"/>
        <item x="0"/>
        <item x="15"/>
        <item x="3"/>
        <item x="14"/>
        <item x="9"/>
        <item x="4"/>
        <item x="11"/>
        <item x="1"/>
        <item x="8"/>
        <item x="7"/>
        <item x="2"/>
        <item x="13"/>
        <item x="12"/>
        <item x="5"/>
        <item x="6"/>
        <item t="default"/>
      </items>
    </pivotField>
    <pivotField compact="0" showAll="0">
      <items count="19">
        <item x="17"/>
        <item x="10"/>
        <item x="16"/>
        <item x="15"/>
        <item x="0"/>
        <item x="3"/>
        <item x="14"/>
        <item x="9"/>
        <item x="4"/>
        <item x="11"/>
        <item x="1"/>
        <item x="8"/>
        <item x="7"/>
        <item x="2"/>
        <item x="13"/>
        <item x="12"/>
        <item x="5"/>
        <item x="6"/>
        <item t="default"/>
      </items>
    </pivotField>
    <pivotField dataField="1" compact="0"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49"/>
        <item x="252"/>
        <item x="350"/>
        <item x="371"/>
        <item x="368"/>
        <item x="499"/>
        <item x="72"/>
        <item x="373"/>
        <item x="225"/>
        <item x="245"/>
        <item x="76"/>
        <item x="461"/>
        <item x="246"/>
        <item x="223"/>
        <item x="497"/>
        <item x="362"/>
        <item x="58"/>
        <item x="454"/>
        <item x="63"/>
        <item x="405"/>
        <item x="232"/>
        <item x="238"/>
        <item x="253"/>
        <item x="254"/>
        <item x="463"/>
        <item x="224"/>
        <item x="234"/>
        <item x="465"/>
        <item x="228"/>
        <item x="241"/>
        <item x="355"/>
        <item x="496"/>
        <item x="361"/>
        <item x="365"/>
        <item x="250"/>
        <item x="356"/>
        <item x="384"/>
        <item x="363"/>
        <item x="366"/>
        <item x="269"/>
        <item x="66"/>
        <item x="5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80"/>
        <item x="233"/>
        <item x="455"/>
        <item x="56"/>
        <item x="240"/>
        <item x="503"/>
        <item x="79"/>
        <item x="68"/>
        <item x="67"/>
        <item x="262"/>
        <item x="354"/>
        <item x="370"/>
        <item x="62"/>
        <item x="283"/>
        <item x="498"/>
        <item x="220"/>
        <item x="457"/>
        <item x="221"/>
        <item x="229"/>
        <item x="231"/>
        <item x="375"/>
        <item x="387"/>
        <item x="492"/>
        <item x="275"/>
        <item x="244"/>
        <item x="64"/>
        <item x="407"/>
        <item x="55"/>
        <item x="459"/>
        <item x="397"/>
        <item x="230"/>
        <item x="502"/>
        <item x="78"/>
        <item x="369"/>
        <item x="227"/>
        <item x="239"/>
        <item x="408"/>
        <item x="491"/>
        <item x="61"/>
        <item x="263"/>
        <item x="381"/>
        <item x="226"/>
        <item x="77"/>
        <item x="237"/>
        <item x="404"/>
        <item x="453"/>
        <item x="75"/>
        <item x="242"/>
        <item x="470"/>
        <item x="65"/>
        <item x="460"/>
        <item x="81"/>
        <item x="57"/>
        <item x="402"/>
        <item x="90"/>
        <item x="284"/>
        <item x="258"/>
        <item x="219"/>
        <item x="451"/>
        <item x="285"/>
        <item x="83"/>
        <item x="54"/>
        <item x="168"/>
        <item x="501"/>
        <item x="409"/>
        <item x="462"/>
        <item x="386"/>
        <item x="452"/>
        <item x="360"/>
        <item x="274"/>
        <item x="286"/>
        <item x="469"/>
        <item x="500"/>
        <item x="279"/>
        <item x="96"/>
        <item x="236"/>
        <item x="472"/>
        <item x="392"/>
        <item x="73"/>
        <item x="292"/>
        <item x="278"/>
        <item x="97"/>
        <item x="282"/>
        <item x="82"/>
        <item x="256"/>
        <item x="410"/>
        <item x="99"/>
        <item x="293"/>
        <item x="471"/>
        <item x="195"/>
        <item x="248"/>
        <item x="100"/>
        <item x="7"/>
        <item x="281"/>
        <item x="273"/>
        <item x="379"/>
        <item x="103"/>
        <item x="105"/>
        <item x="276"/>
        <item x="16"/>
        <item x="18"/>
        <item x="272"/>
        <item x="271"/>
        <item x="466"/>
        <item x="25"/>
        <item x="473"/>
        <item x="385"/>
        <item x="106"/>
        <item x="194"/>
        <item x="201"/>
        <item x="93"/>
        <item x="289"/>
        <item x="98"/>
        <item x="92"/>
        <item x="280"/>
        <item x="294"/>
        <item x="89"/>
        <item x="468"/>
        <item x="467"/>
        <item x="299"/>
        <item x="290"/>
        <item x="205"/>
        <item x="416"/>
        <item x="437"/>
        <item x="207"/>
        <item x="88"/>
        <item x="12"/>
        <item x="403"/>
        <item x="8"/>
        <item x="17"/>
        <item x="24"/>
        <item x="193"/>
        <item x="186"/>
        <item x="440"/>
        <item x="389"/>
        <item x="211"/>
        <item x="9"/>
        <item x="202"/>
        <item x="180"/>
        <item x="415"/>
        <item x="13"/>
        <item x="171"/>
        <item x="291"/>
        <item x="4"/>
        <item x="214"/>
        <item x="166"/>
        <item x="297"/>
        <item x="22"/>
        <item x="388"/>
        <item x="29"/>
        <item x="6"/>
        <item x="95"/>
        <item x="183"/>
        <item x="86"/>
        <item x="474"/>
        <item x="5"/>
        <item x="174"/>
        <item x="439"/>
        <item x="436"/>
        <item x="15"/>
        <item x="445"/>
        <item x="198"/>
        <item x="192"/>
        <item x="270"/>
        <item x="26"/>
        <item x="14"/>
        <item x="172"/>
        <item x="169"/>
        <item x="19"/>
        <item x="391"/>
        <item x="260"/>
        <item x="10"/>
        <item x="435"/>
        <item x="164"/>
        <item x="434"/>
        <item x="448"/>
        <item x="298"/>
        <item x="382"/>
        <item x="94"/>
        <item x="191"/>
        <item x="104"/>
        <item x="11"/>
        <item x="213"/>
        <item x="85"/>
        <item x="102"/>
        <item x="390"/>
        <item x="188"/>
        <item x="209"/>
        <item x="87"/>
        <item x="91"/>
        <item x="163"/>
        <item x="107"/>
        <item x="187"/>
        <item x="287"/>
        <item x="383"/>
        <item x="411"/>
        <item x="178"/>
        <item x="203"/>
        <item x="417"/>
        <item x="175"/>
        <item x="441"/>
        <item x="176"/>
        <item x="108"/>
        <item x="277"/>
        <item x="21"/>
        <item x="110"/>
        <item x="447"/>
        <item x="413"/>
        <item x="393"/>
        <item x="36"/>
        <item x="167"/>
        <item x="204"/>
        <item x="215"/>
        <item x="23"/>
        <item x="162"/>
        <item x="212"/>
        <item x="190"/>
        <item x="210"/>
        <item x="3"/>
        <item x="184"/>
        <item x="84"/>
        <item x="117"/>
        <item x="418"/>
        <item x="422"/>
        <item x="27"/>
        <item x="196"/>
        <item x="400"/>
        <item x="170"/>
        <item x="173"/>
        <item x="133"/>
        <item x="449"/>
        <item x="46"/>
        <item x="442"/>
        <item x="101"/>
        <item x="181"/>
        <item x="199"/>
        <item x="446"/>
        <item x="412"/>
        <item x="165"/>
        <item x="20"/>
        <item x="33"/>
        <item x="51"/>
        <item x="444"/>
        <item x="208"/>
        <item x="218"/>
        <item x="200"/>
        <item x="39"/>
        <item x="398"/>
        <item x="125"/>
        <item x="53"/>
        <item x="113"/>
        <item x="216"/>
        <item x="112"/>
        <item x="189"/>
        <item x="129"/>
        <item x="52"/>
        <item x="123"/>
        <item x="399"/>
        <item x="40"/>
        <item x="74"/>
        <item x="34"/>
        <item x="48"/>
        <item x="185"/>
        <item x="109"/>
        <item x="423"/>
        <item x="37"/>
        <item x="394"/>
        <item x="450"/>
        <item x="421"/>
        <item x="121"/>
        <item x="118"/>
        <item x="28"/>
        <item x="32"/>
        <item x="31"/>
        <item x="155"/>
        <item x="424"/>
        <item x="134"/>
        <item x="396"/>
        <item x="401"/>
        <item x="126"/>
        <item x="42"/>
        <item x="127"/>
        <item x="44"/>
        <item x="197"/>
        <item x="45"/>
        <item x="49"/>
        <item x="120"/>
        <item x="124"/>
        <item x="419"/>
        <item x="150"/>
        <item x="115"/>
        <item x="122"/>
        <item x="414"/>
        <item x="420"/>
        <item x="131"/>
        <item x="43"/>
        <item x="35"/>
        <item x="114"/>
        <item x="41"/>
        <item x="217"/>
        <item x="406"/>
        <item x="116"/>
        <item x="50"/>
        <item x="69"/>
        <item x="119"/>
        <item x="30"/>
        <item x="395"/>
        <item x="111"/>
        <item x="206"/>
        <item x="425"/>
        <item x="130"/>
        <item x="141"/>
        <item x="443"/>
        <item x="47"/>
        <item x="160"/>
        <item x="429"/>
        <item x="128"/>
        <item x="152"/>
        <item x="147"/>
        <item x="38"/>
        <item x="151"/>
        <item x="137"/>
        <item x="431"/>
        <item x="156"/>
        <item x="71"/>
        <item x="136"/>
        <item x="149"/>
        <item x="132"/>
        <item x="428"/>
        <item x="145"/>
        <item x="182"/>
        <item x="432"/>
        <item x="478"/>
        <item x="153"/>
        <item x="161"/>
        <item x="142"/>
        <item x="139"/>
        <item x="138"/>
        <item x="158"/>
        <item x="426"/>
        <item x="485"/>
        <item x="177"/>
        <item x="427"/>
        <item x="144"/>
        <item x="146"/>
        <item x="148"/>
        <item x="143"/>
        <item x="309"/>
        <item x="303"/>
        <item x="430"/>
        <item x="314"/>
        <item x="477"/>
        <item x="302"/>
        <item x="140"/>
        <item x="306"/>
        <item x="327"/>
        <item x="480"/>
        <item x="433"/>
        <item x="323"/>
        <item x="135"/>
        <item x="326"/>
        <item x="157"/>
        <item x="329"/>
        <item x="488"/>
        <item x="479"/>
        <item x="332"/>
        <item x="336"/>
        <item x="342"/>
        <item x="318"/>
        <item x="484"/>
        <item x="348"/>
        <item x="296"/>
        <item x="353"/>
        <item x="337"/>
        <item x="295"/>
        <item x="343"/>
        <item x="487"/>
        <item x="313"/>
        <item x="179"/>
        <item x="154"/>
        <item x="312"/>
        <item x="301"/>
        <item x="311"/>
        <item x="310"/>
        <item x="475"/>
        <item x="476"/>
        <item x="322"/>
        <item x="325"/>
        <item x="319"/>
        <item x="351"/>
        <item x="483"/>
        <item x="305"/>
        <item x="335"/>
        <item x="482"/>
        <item x="333"/>
        <item x="316"/>
        <item x="481"/>
        <item x="486"/>
        <item x="159"/>
        <item x="334"/>
        <item x="347"/>
        <item x="300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438"/>
        <item x="345"/>
        <item x="330"/>
        <item x="331"/>
        <item x="352"/>
        <item x="315"/>
        <item x="338"/>
        <item x="317"/>
        <item x="341"/>
        <item t="default"/>
      </items>
    </pivotField>
    <pivotField axis="axisPage" compact="0" multipleItemSelectionAllowed="1" showAll="0">
      <items count="7">
        <item x="4"/>
        <item x="3"/>
        <item x="1"/>
        <item x="2"/>
        <item x="0"/>
        <item x="5"/>
        <item t="default"/>
      </items>
    </pivotField>
    <pivotField dragToCol="0" dragToPage="0" dragToRow="0" compact="0" showAll="0"/>
  </pivotFields>
  <rowFields count="1">
    <field x="1"/>
  </rowFields>
  <rowItems count="19">
    <i>
      <x v="5"/>
    </i>
    <i>
      <x v="6"/>
    </i>
    <i>
      <x v="12"/>
    </i>
    <i>
      <x v="13"/>
    </i>
    <i>
      <x v="1"/>
    </i>
    <i>
      <x v="2"/>
    </i>
    <i>
      <x/>
    </i>
    <i>
      <x v="3"/>
    </i>
    <i>
      <x v="7"/>
    </i>
    <i>
      <x v="4"/>
    </i>
    <i>
      <x v="16"/>
    </i>
    <i>
      <x v="14"/>
    </i>
    <i>
      <x v="9"/>
    </i>
    <i>
      <x v="8"/>
    </i>
    <i>
      <x v="17"/>
    </i>
    <i>
      <x v="10"/>
    </i>
    <i>
      <x v="15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8"/>
  </pageFields>
  <dataFields count="3">
    <dataField name="Сумма Товарооборот, руб" fld="3" baseField="0" baseItem="0"/>
    <dataField name="Среднее из Товарооборот на склад" fld="7" subtotal="average" baseField="0" baseItem="0"/>
    <dataField name="Доля, %" fld="3" showDataAs="percentOfTotal" baseField="0" baseItem="0" numFmtId="10"/>
  </dataFields>
  <formats count="16">
    <format dxfId="0">
      <pivotArea dataOnly="0" labelOnly="1" fieldPosition="0">
        <references count="1">
          <reference field="4294967294" count="1">
            <x v="0"/>
          </reference>
        </references>
      </pivotArea>
    </format>
    <format dxfId="1">
      <pivotArea dataOnly="0" labelOnly="1" fieldPosition="0">
        <references count="1">
          <reference field="4294967294" count="1">
            <x v="1"/>
          </reference>
        </references>
      </pivotArea>
    </format>
    <format dxfId="2">
      <pivotArea dataOnly="0" labelOnly="1" fieldPosition="0">
        <references count="1">
          <reference field="4294967294" count="1">
            <x v="2"/>
          </reference>
        </references>
      </pivotArea>
    </format>
    <format dxfId="3">
      <pivotArea dataOnly="0" labelOnly="1" fieldPosition="0">
        <references count="1">
          <reference field="4294967294" count="1">
            <x v="0"/>
          </reference>
        </references>
      </pivotArea>
    </format>
    <format dxfId="4">
      <pivotArea dataOnly="0" labelOnly="1" fieldPosition="0">
        <references count="1">
          <reference field="4294967294" count="1">
            <x v="1"/>
          </reference>
        </references>
      </pivotArea>
    </format>
    <format dxfId="5">
      <pivotArea dataOnly="0" labelOnly="1" fieldPosition="0">
        <references count="1">
          <reference field="4294967294" count="1">
            <x v="2"/>
          </reference>
        </references>
      </pivotArea>
    </format>
    <format dxfId="6">
      <pivotArea type="all" dataOnly="0" outline="0" fieldPosition="0"/>
    </format>
    <format dxfId="7">
      <pivotArea type="all" dataOnly="0" outline="0" fieldPosition="0"/>
    </format>
    <format dxfId="8">
      <pivotArea field="1" type="button" dataOnly="0" labelOnly="1" outline="0" fieldPosition="0"/>
    </format>
    <format dxfId="9">
      <pivotArea dataOnly="0" labelOnly="1" fieldPosition="0">
        <references count="1">
          <reference field="4294967294" count="1">
            <x v="0"/>
          </reference>
        </references>
      </pivotArea>
    </format>
    <format dxfId="10">
      <pivotArea dataOnly="0" labelOnly="1" fieldPosition="0">
        <references count="1">
          <reference field="4294967294" count="1">
            <x v="1"/>
          </reference>
        </references>
      </pivotArea>
    </format>
    <format dxfId="11">
      <pivotArea dataOnly="0" labelOnly="1" fieldPosition="0">
        <references count="1">
          <reference field="4294967294" count="1">
            <x v="2"/>
          </reference>
        </references>
      </pivotArea>
    </format>
    <format dxfId="12">
      <pivotArea field="1" type="button" dataOnly="0" labelOnly="1" outline="0" fieldPosition="0"/>
    </format>
    <format dxfId="13">
      <pivotArea dataOnly="0" labelOnly="1" fieldPosition="0">
        <references count="1">
          <reference field="4294967294" count="1">
            <x v="0"/>
          </reference>
        </references>
      </pivotArea>
    </format>
    <format dxfId="14">
      <pivotArea dataOnly="0" labelOnly="1" fieldPosition="0">
        <references count="1">
          <reference field="4294967294" count="1">
            <x v="1"/>
          </reference>
        </references>
      </pivotArea>
    </format>
    <format dxfId="15">
      <pivotArea dataOnly="0" labelOnly="1" fieldPosition="0">
        <references count="1">
          <reference field="4294967294" count="1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_x000a_таблица3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A2:C9" firstHeaderRow="0" firstDataRow="1" firstDataCol="1"/>
  <pivotFields count="10">
    <pivotField compact="0" numFmtId="180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compact="0" showAll="0"/>
    <pivotField compact="0" showAll="0"/>
    <pivotField dataField="1" compact="0" showAll="0">
      <items count="505">
        <item x="493"/>
        <item x="265"/>
        <item x="499"/>
        <item x="249"/>
        <item x="384"/>
        <item x="378"/>
        <item x="251"/>
        <item x="247"/>
        <item x="60"/>
        <item x="0"/>
        <item x="377"/>
        <item x="70"/>
        <item x="2"/>
        <item x="380"/>
        <item x="259"/>
        <item x="491"/>
        <item x="255"/>
        <item x="381"/>
        <item x="72"/>
        <item x="76"/>
        <item x="58"/>
        <item x="63"/>
        <item x="405"/>
        <item x="261"/>
        <item x="268"/>
        <item x="1"/>
        <item x="66"/>
        <item x="59"/>
        <item x="267"/>
        <item x="501"/>
        <item x="367"/>
        <item x="359"/>
        <item x="80"/>
        <item x="360"/>
        <item x="56"/>
        <item x="500"/>
        <item x="79"/>
        <item x="68"/>
        <item x="392"/>
        <item x="67"/>
        <item x="494"/>
        <item x="62"/>
        <item x="358"/>
        <item x="379"/>
        <item x="64"/>
        <item x="407"/>
        <item x="55"/>
        <item x="257"/>
        <item x="357"/>
        <item x="78"/>
        <item x="464"/>
        <item x="374"/>
        <item x="349"/>
        <item x="408"/>
        <item x="61"/>
        <item x="252"/>
        <item x="350"/>
        <item x="371"/>
        <item x="77"/>
        <item x="404"/>
        <item x="368"/>
        <item x="75"/>
        <item x="65"/>
        <item x="81"/>
        <item x="57"/>
        <item x="373"/>
        <item x="225"/>
        <item x="402"/>
        <item x="245"/>
        <item x="461"/>
        <item x="246"/>
        <item x="223"/>
        <item x="497"/>
        <item x="362"/>
        <item x="454"/>
        <item x="232"/>
        <item x="238"/>
        <item x="253"/>
        <item x="254"/>
        <item x="83"/>
        <item x="463"/>
        <item x="224"/>
        <item x="234"/>
        <item x="465"/>
        <item x="228"/>
        <item x="241"/>
        <item x="355"/>
        <item x="54"/>
        <item x="496"/>
        <item x="361"/>
        <item x="365"/>
        <item x="409"/>
        <item x="250"/>
        <item x="356"/>
        <item x="363"/>
        <item x="366"/>
        <item x="26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73"/>
        <item x="233"/>
        <item x="455"/>
        <item x="82"/>
        <item x="240"/>
        <item x="410"/>
        <item x="503"/>
        <item x="262"/>
        <item x="354"/>
        <item x="370"/>
        <item x="283"/>
        <item x="498"/>
        <item x="220"/>
        <item x="457"/>
        <item x="221"/>
        <item x="229"/>
        <item x="231"/>
        <item x="375"/>
        <item x="387"/>
        <item x="492"/>
        <item x="244"/>
        <item x="459"/>
        <item x="397"/>
        <item x="230"/>
        <item x="502"/>
        <item x="403"/>
        <item x="369"/>
        <item x="227"/>
        <item x="239"/>
        <item x="263"/>
        <item x="226"/>
        <item x="237"/>
        <item x="453"/>
        <item x="242"/>
        <item x="470"/>
        <item x="460"/>
        <item x="258"/>
        <item x="219"/>
        <item x="451"/>
        <item x="285"/>
        <item x="275"/>
        <item x="462"/>
        <item x="386"/>
        <item x="452"/>
        <item x="90"/>
        <item x="236"/>
        <item x="284"/>
        <item x="96"/>
        <item x="97"/>
        <item x="274"/>
        <item x="286"/>
        <item x="469"/>
        <item x="99"/>
        <item x="279"/>
        <item x="472"/>
        <item x="100"/>
        <item x="292"/>
        <item x="278"/>
        <item x="282"/>
        <item x="103"/>
        <item x="105"/>
        <item x="256"/>
        <item x="293"/>
        <item x="471"/>
        <item x="106"/>
        <item x="248"/>
        <item x="93"/>
        <item x="7"/>
        <item x="98"/>
        <item x="92"/>
        <item x="281"/>
        <item x="273"/>
        <item x="89"/>
        <item x="276"/>
        <item x="16"/>
        <item x="18"/>
        <item x="272"/>
        <item x="416"/>
        <item x="271"/>
        <item x="88"/>
        <item x="260"/>
        <item x="466"/>
        <item x="195"/>
        <item x="25"/>
        <item x="473"/>
        <item x="385"/>
        <item x="289"/>
        <item x="280"/>
        <item x="294"/>
        <item x="468"/>
        <item x="467"/>
        <item x="299"/>
        <item x="290"/>
        <item x="415"/>
        <item x="12"/>
        <item x="8"/>
        <item x="194"/>
        <item x="17"/>
        <item x="24"/>
        <item x="201"/>
        <item x="95"/>
        <item x="86"/>
        <item x="389"/>
        <item x="9"/>
        <item x="205"/>
        <item x="207"/>
        <item x="13"/>
        <item x="291"/>
        <item x="4"/>
        <item x="297"/>
        <item x="22"/>
        <item x="193"/>
        <item x="388"/>
        <item x="29"/>
        <item x="6"/>
        <item x="94"/>
        <item x="211"/>
        <item x="474"/>
        <item x="104"/>
        <item x="202"/>
        <item x="85"/>
        <item x="102"/>
        <item x="5"/>
        <item x="87"/>
        <item x="15"/>
        <item x="91"/>
        <item x="107"/>
        <item x="270"/>
        <item x="411"/>
        <item x="26"/>
        <item x="14"/>
        <item x="214"/>
        <item x="19"/>
        <item x="391"/>
        <item x="417"/>
        <item x="10"/>
        <item x="108"/>
        <item x="110"/>
        <item x="298"/>
        <item x="413"/>
        <item x="382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393"/>
        <item x="213"/>
        <item x="84"/>
        <item x="418"/>
        <item x="203"/>
        <item x="23"/>
        <item x="447"/>
        <item x="101"/>
        <item x="3"/>
        <item x="412"/>
        <item x="215"/>
        <item x="27"/>
        <item x="212"/>
        <item x="190"/>
        <item x="210"/>
        <item x="20"/>
        <item x="109"/>
        <item x="196"/>
        <item x="449"/>
        <item x="442"/>
        <item x="199"/>
        <item x="444"/>
        <item x="208"/>
        <item x="218"/>
        <item x="414"/>
        <item x="200"/>
        <item x="28"/>
        <item x="216"/>
        <item x="189"/>
        <item x="450"/>
        <item x="168"/>
        <item x="197"/>
        <item x="217"/>
        <item x="443"/>
        <item x="437"/>
        <item x="186"/>
        <item x="440"/>
        <item x="180"/>
        <item x="171"/>
        <item x="36"/>
        <item x="166"/>
        <item x="183"/>
        <item x="174"/>
        <item x="439"/>
        <item x="436"/>
        <item x="172"/>
        <item x="169"/>
        <item x="435"/>
        <item x="164"/>
        <item x="434"/>
        <item x="400"/>
        <item x="188"/>
        <item x="209"/>
        <item x="46"/>
        <item x="163"/>
        <item x="187"/>
        <item x="178"/>
        <item x="33"/>
        <item x="175"/>
        <item x="51"/>
        <item x="441"/>
        <item x="176"/>
        <item x="39"/>
        <item x="398"/>
        <item x="53"/>
        <item x="167"/>
        <item x="204"/>
        <item x="52"/>
        <item x="399"/>
        <item x="40"/>
        <item x="74"/>
        <item x="34"/>
        <item x="48"/>
        <item x="162"/>
        <item x="37"/>
        <item x="394"/>
        <item x="32"/>
        <item x="31"/>
        <item x="184"/>
        <item x="396"/>
        <item x="401"/>
        <item x="42"/>
        <item x="44"/>
        <item x="45"/>
        <item x="49"/>
        <item x="170"/>
        <item x="173"/>
        <item x="43"/>
        <item x="181"/>
        <item x="35"/>
        <item x="446"/>
        <item x="41"/>
        <item x="165"/>
        <item x="406"/>
        <item x="50"/>
        <item x="69"/>
        <item x="30"/>
        <item x="185"/>
        <item x="395"/>
        <item x="47"/>
        <item x="38"/>
        <item x="206"/>
        <item x="71"/>
        <item x="485"/>
        <item x="478"/>
        <item x="327"/>
        <item x="326"/>
        <item x="329"/>
        <item x="488"/>
        <item x="332"/>
        <item x="336"/>
        <item x="484"/>
        <item x="348"/>
        <item x="309"/>
        <item x="303"/>
        <item x="314"/>
        <item x="477"/>
        <item x="302"/>
        <item x="353"/>
        <item x="306"/>
        <item x="343"/>
        <item x="487"/>
        <item x="480"/>
        <item x="323"/>
        <item x="313"/>
        <item x="479"/>
        <item x="342"/>
        <item x="318"/>
        <item x="325"/>
        <item x="351"/>
        <item x="483"/>
        <item x="305"/>
        <item x="335"/>
        <item x="482"/>
        <item x="333"/>
        <item x="296"/>
        <item x="334"/>
        <item x="347"/>
        <item x="337"/>
        <item x="295"/>
        <item x="344"/>
        <item x="489"/>
        <item x="312"/>
        <item x="301"/>
        <item x="311"/>
        <item x="340"/>
        <item x="310"/>
        <item x="475"/>
        <item x="324"/>
        <item x="476"/>
        <item x="490"/>
        <item x="322"/>
        <item x="319"/>
        <item x="328"/>
        <item x="346"/>
        <item x="316"/>
        <item x="481"/>
        <item x="486"/>
        <item x="345"/>
        <item x="300"/>
        <item x="330"/>
        <item x="321"/>
        <item x="331"/>
        <item x="352"/>
        <item x="304"/>
        <item x="117"/>
        <item x="339"/>
        <item x="422"/>
        <item x="320"/>
        <item x="307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421"/>
        <item x="121"/>
        <item x="118"/>
        <item x="155"/>
        <item x="424"/>
        <item x="134"/>
        <item x="126"/>
        <item x="317"/>
        <item x="127"/>
        <item x="120"/>
        <item x="124"/>
        <item x="419"/>
        <item x="150"/>
        <item x="115"/>
        <item x="122"/>
        <item x="420"/>
        <item x="131"/>
        <item x="114"/>
        <item x="116"/>
        <item x="119"/>
        <item x="141"/>
        <item x="111"/>
        <item x="425"/>
        <item x="130"/>
        <item x="160"/>
        <item x="429"/>
        <item x="128"/>
        <item x="147"/>
        <item x="152"/>
        <item x="151"/>
        <item x="137"/>
        <item x="431"/>
        <item x="156"/>
        <item x="136"/>
        <item x="149"/>
        <item x="428"/>
        <item x="145"/>
        <item x="182"/>
        <item x="432"/>
        <item x="132"/>
        <item x="153"/>
        <item x="161"/>
        <item x="142"/>
        <item x="139"/>
        <item x="138"/>
        <item x="158"/>
        <item x="426"/>
        <item x="177"/>
        <item x="427"/>
        <item x="144"/>
        <item x="146"/>
        <item x="148"/>
        <item x="143"/>
        <item x="140"/>
        <item x="430"/>
        <item x="433"/>
        <item x="135"/>
        <item x="157"/>
        <item x="179"/>
        <item x="154"/>
        <item x="159"/>
        <item x="438"/>
        <item t="default"/>
      </items>
    </pivotField>
    <pivotField compact="0" showAll="0"/>
    <pivotField compact="0" showAll="0"/>
    <pivotField compact="0" showAll="0"/>
    <pivotField dataField="1" compact="0" showAll="0">
      <items count="505">
        <item x="265"/>
        <item x="249"/>
        <item x="251"/>
        <item x="247"/>
        <item x="0"/>
        <item x="377"/>
        <item x="2"/>
        <item x="493"/>
        <item x="380"/>
        <item x="259"/>
        <item x="255"/>
        <item x="261"/>
        <item x="268"/>
        <item x="1"/>
        <item x="267"/>
        <item x="367"/>
        <item x="359"/>
        <item x="378"/>
        <item x="494"/>
        <item x="358"/>
        <item x="60"/>
        <item x="257"/>
        <item x="357"/>
        <item x="70"/>
        <item x="464"/>
        <item x="374"/>
        <item x="349"/>
        <item x="252"/>
        <item x="350"/>
        <item x="371"/>
        <item x="368"/>
        <item x="499"/>
        <item x="72"/>
        <item x="373"/>
        <item x="225"/>
        <item x="245"/>
        <item x="76"/>
        <item x="461"/>
        <item x="246"/>
        <item x="223"/>
        <item x="497"/>
        <item x="362"/>
        <item x="58"/>
        <item x="454"/>
        <item x="63"/>
        <item x="405"/>
        <item x="232"/>
        <item x="238"/>
        <item x="253"/>
        <item x="254"/>
        <item x="463"/>
        <item x="224"/>
        <item x="234"/>
        <item x="465"/>
        <item x="228"/>
        <item x="241"/>
        <item x="355"/>
        <item x="496"/>
        <item x="361"/>
        <item x="365"/>
        <item x="250"/>
        <item x="356"/>
        <item x="384"/>
        <item x="363"/>
        <item x="366"/>
        <item x="269"/>
        <item x="66"/>
        <item x="59"/>
        <item x="266"/>
        <item x="376"/>
        <item x="458"/>
        <item x="243"/>
        <item x="372"/>
        <item x="364"/>
        <item x="235"/>
        <item x="222"/>
        <item x="456"/>
        <item x="264"/>
        <item x="495"/>
        <item x="288"/>
        <item x="80"/>
        <item x="233"/>
        <item x="455"/>
        <item x="56"/>
        <item x="240"/>
        <item x="503"/>
        <item x="79"/>
        <item x="68"/>
        <item x="67"/>
        <item x="262"/>
        <item x="354"/>
        <item x="370"/>
        <item x="62"/>
        <item x="283"/>
        <item x="498"/>
        <item x="220"/>
        <item x="457"/>
        <item x="221"/>
        <item x="229"/>
        <item x="231"/>
        <item x="375"/>
        <item x="387"/>
        <item x="492"/>
        <item x="275"/>
        <item x="244"/>
        <item x="64"/>
        <item x="407"/>
        <item x="55"/>
        <item x="459"/>
        <item x="397"/>
        <item x="230"/>
        <item x="502"/>
        <item x="78"/>
        <item x="369"/>
        <item x="227"/>
        <item x="239"/>
        <item x="408"/>
        <item x="491"/>
        <item x="61"/>
        <item x="263"/>
        <item x="381"/>
        <item x="226"/>
        <item x="77"/>
        <item x="237"/>
        <item x="404"/>
        <item x="453"/>
        <item x="75"/>
        <item x="242"/>
        <item x="470"/>
        <item x="65"/>
        <item x="460"/>
        <item x="81"/>
        <item x="57"/>
        <item x="402"/>
        <item x="90"/>
        <item x="284"/>
        <item x="258"/>
        <item x="219"/>
        <item x="451"/>
        <item x="285"/>
        <item x="83"/>
        <item x="54"/>
        <item x="168"/>
        <item x="501"/>
        <item x="409"/>
        <item x="462"/>
        <item x="386"/>
        <item x="452"/>
        <item x="360"/>
        <item x="274"/>
        <item x="286"/>
        <item x="469"/>
        <item x="500"/>
        <item x="279"/>
        <item x="96"/>
        <item x="236"/>
        <item x="472"/>
        <item x="392"/>
        <item x="73"/>
        <item x="292"/>
        <item x="278"/>
        <item x="97"/>
        <item x="282"/>
        <item x="82"/>
        <item x="256"/>
        <item x="410"/>
        <item x="99"/>
        <item x="293"/>
        <item x="471"/>
        <item x="195"/>
        <item x="248"/>
        <item x="100"/>
        <item x="7"/>
        <item x="281"/>
        <item x="273"/>
        <item x="379"/>
        <item x="103"/>
        <item x="105"/>
        <item x="276"/>
        <item x="16"/>
        <item x="18"/>
        <item x="272"/>
        <item x="271"/>
        <item x="466"/>
        <item x="25"/>
        <item x="473"/>
        <item x="385"/>
        <item x="106"/>
        <item x="194"/>
        <item x="201"/>
        <item x="93"/>
        <item x="289"/>
        <item x="98"/>
        <item x="92"/>
        <item x="280"/>
        <item x="294"/>
        <item x="89"/>
        <item x="468"/>
        <item x="467"/>
        <item x="299"/>
        <item x="290"/>
        <item x="205"/>
        <item x="416"/>
        <item x="437"/>
        <item x="207"/>
        <item x="88"/>
        <item x="12"/>
        <item x="403"/>
        <item x="8"/>
        <item x="17"/>
        <item x="24"/>
        <item x="193"/>
        <item x="186"/>
        <item x="440"/>
        <item x="389"/>
        <item x="211"/>
        <item x="9"/>
        <item x="202"/>
        <item x="180"/>
        <item x="415"/>
        <item x="13"/>
        <item x="171"/>
        <item x="291"/>
        <item x="4"/>
        <item x="214"/>
        <item x="166"/>
        <item x="297"/>
        <item x="22"/>
        <item x="388"/>
        <item x="29"/>
        <item x="6"/>
        <item x="95"/>
        <item x="183"/>
        <item x="86"/>
        <item x="474"/>
        <item x="5"/>
        <item x="174"/>
        <item x="439"/>
        <item x="436"/>
        <item x="15"/>
        <item x="445"/>
        <item x="198"/>
        <item x="192"/>
        <item x="270"/>
        <item x="26"/>
        <item x="14"/>
        <item x="172"/>
        <item x="169"/>
        <item x="19"/>
        <item x="391"/>
        <item x="260"/>
        <item x="10"/>
        <item x="435"/>
        <item x="164"/>
        <item x="434"/>
        <item x="448"/>
        <item x="298"/>
        <item x="382"/>
        <item x="94"/>
        <item x="191"/>
        <item x="104"/>
        <item x="11"/>
        <item x="213"/>
        <item x="85"/>
        <item x="102"/>
        <item x="390"/>
        <item x="188"/>
        <item x="209"/>
        <item x="87"/>
        <item x="91"/>
        <item x="163"/>
        <item x="107"/>
        <item x="187"/>
        <item x="287"/>
        <item x="383"/>
        <item x="411"/>
        <item x="178"/>
        <item x="203"/>
        <item x="417"/>
        <item x="175"/>
        <item x="441"/>
        <item x="176"/>
        <item x="108"/>
        <item x="277"/>
        <item x="21"/>
        <item x="110"/>
        <item x="447"/>
        <item x="413"/>
        <item x="393"/>
        <item x="36"/>
        <item x="167"/>
        <item x="204"/>
        <item x="215"/>
        <item x="23"/>
        <item x="162"/>
        <item x="212"/>
        <item x="190"/>
        <item x="210"/>
        <item x="3"/>
        <item x="184"/>
        <item x="84"/>
        <item x="117"/>
        <item x="418"/>
        <item x="422"/>
        <item x="27"/>
        <item x="196"/>
        <item x="400"/>
        <item x="170"/>
        <item x="173"/>
        <item x="133"/>
        <item x="449"/>
        <item x="46"/>
        <item x="442"/>
        <item x="101"/>
        <item x="181"/>
        <item x="199"/>
        <item x="446"/>
        <item x="412"/>
        <item x="165"/>
        <item x="20"/>
        <item x="33"/>
        <item x="51"/>
        <item x="444"/>
        <item x="208"/>
        <item x="218"/>
        <item x="200"/>
        <item x="39"/>
        <item x="398"/>
        <item x="125"/>
        <item x="53"/>
        <item x="113"/>
        <item x="216"/>
        <item x="112"/>
        <item x="189"/>
        <item x="129"/>
        <item x="52"/>
        <item x="123"/>
        <item x="399"/>
        <item x="40"/>
        <item x="74"/>
        <item x="34"/>
        <item x="48"/>
        <item x="185"/>
        <item x="109"/>
        <item x="423"/>
        <item x="37"/>
        <item x="394"/>
        <item x="450"/>
        <item x="421"/>
        <item x="121"/>
        <item x="118"/>
        <item x="28"/>
        <item x="32"/>
        <item x="31"/>
        <item x="155"/>
        <item x="424"/>
        <item x="134"/>
        <item x="396"/>
        <item x="401"/>
        <item x="126"/>
        <item x="42"/>
        <item x="127"/>
        <item x="44"/>
        <item x="197"/>
        <item x="45"/>
        <item x="49"/>
        <item x="120"/>
        <item x="124"/>
        <item x="419"/>
        <item x="150"/>
        <item x="115"/>
        <item x="122"/>
        <item x="414"/>
        <item x="420"/>
        <item x="131"/>
        <item x="43"/>
        <item x="35"/>
        <item x="114"/>
        <item x="41"/>
        <item x="217"/>
        <item x="406"/>
        <item x="116"/>
        <item x="50"/>
        <item x="69"/>
        <item x="119"/>
        <item x="30"/>
        <item x="395"/>
        <item x="111"/>
        <item x="206"/>
        <item x="425"/>
        <item x="130"/>
        <item x="141"/>
        <item x="443"/>
        <item x="47"/>
        <item x="160"/>
        <item x="429"/>
        <item x="128"/>
        <item x="152"/>
        <item x="147"/>
        <item x="38"/>
        <item x="151"/>
        <item x="137"/>
        <item x="431"/>
        <item x="156"/>
        <item x="71"/>
        <item x="136"/>
        <item x="149"/>
        <item x="132"/>
        <item x="428"/>
        <item x="145"/>
        <item x="182"/>
        <item x="432"/>
        <item x="478"/>
        <item x="153"/>
        <item x="161"/>
        <item x="142"/>
        <item x="139"/>
        <item x="138"/>
        <item x="158"/>
        <item x="426"/>
        <item x="485"/>
        <item x="177"/>
        <item x="427"/>
        <item x="144"/>
        <item x="146"/>
        <item x="148"/>
        <item x="143"/>
        <item x="309"/>
        <item x="303"/>
        <item x="430"/>
        <item x="314"/>
        <item x="477"/>
        <item x="302"/>
        <item x="140"/>
        <item x="306"/>
        <item x="327"/>
        <item x="480"/>
        <item x="433"/>
        <item x="323"/>
        <item x="135"/>
        <item x="326"/>
        <item x="157"/>
        <item x="329"/>
        <item x="488"/>
        <item x="479"/>
        <item x="332"/>
        <item x="336"/>
        <item x="342"/>
        <item x="318"/>
        <item x="484"/>
        <item x="348"/>
        <item x="296"/>
        <item x="353"/>
        <item x="337"/>
        <item x="295"/>
        <item x="343"/>
        <item x="487"/>
        <item x="313"/>
        <item x="179"/>
        <item x="154"/>
        <item x="312"/>
        <item x="301"/>
        <item x="311"/>
        <item x="310"/>
        <item x="475"/>
        <item x="476"/>
        <item x="322"/>
        <item x="325"/>
        <item x="319"/>
        <item x="351"/>
        <item x="483"/>
        <item x="305"/>
        <item x="335"/>
        <item x="482"/>
        <item x="333"/>
        <item x="316"/>
        <item x="481"/>
        <item x="486"/>
        <item x="159"/>
        <item x="334"/>
        <item x="347"/>
        <item x="300"/>
        <item x="344"/>
        <item x="321"/>
        <item x="489"/>
        <item x="340"/>
        <item x="304"/>
        <item x="324"/>
        <item x="490"/>
        <item x="339"/>
        <item x="320"/>
        <item x="328"/>
        <item x="346"/>
        <item x="307"/>
        <item x="308"/>
        <item x="438"/>
        <item x="345"/>
        <item x="330"/>
        <item x="331"/>
        <item x="352"/>
        <item x="315"/>
        <item x="338"/>
        <item x="317"/>
        <item x="341"/>
        <item t="default"/>
      </items>
    </pivotField>
    <pivotField axis="axisRow" compact="0" showAll="0">
      <items count="7">
        <item x="4"/>
        <item x="3"/>
        <item x="1"/>
        <item x="2"/>
        <item x="0"/>
        <item x="5"/>
        <item t="default"/>
      </items>
    </pivotField>
    <pivotField dragToCol="0" dragToPage="0" dragToRow="0" compact="0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Товарооборот, руб" fld="3" baseField="0" baseItem="0"/>
    <dataField name="Среднее из Товарооборот на склад" fld="7" subtotal="average" baseField="0" baseItem="0"/>
  </dataFields>
  <formats count="8">
    <format dxfId="16">
      <pivotArea type="all" dataOnly="0" outline="0" fieldPosition="0"/>
    </format>
    <format dxfId="17">
      <pivotArea type="all" dataOnly="0" outline="0" fieldPosition="0"/>
    </format>
    <format dxfId="18">
      <pivotArea field="8" type="button" dataOnly="0" labelOnly="1" outline="0" fieldPosition="0"/>
    </format>
    <format dxfId="19">
      <pivotArea dataOnly="0" labelOnly="1" fieldPosition="0">
        <references count="1">
          <reference field="4294967294" count="1">
            <x v="0"/>
          </reference>
        </references>
      </pivotArea>
    </format>
    <format dxfId="20">
      <pivotArea dataOnly="0" labelOnly="1" fieldPosition="0">
        <references count="1">
          <reference field="4294967294" count="1">
            <x v="1"/>
          </reference>
        </references>
      </pivotArea>
    </format>
    <format dxfId="21">
      <pivotArea field="8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X1000"/>
  <sheetViews>
    <sheetView tabSelected="1" zoomScale="70" zoomScaleNormal="70" workbookViewId="0">
      <selection activeCell="J1" sqref="J1"/>
    </sheetView>
  </sheetViews>
  <sheetFormatPr defaultColWidth="14.4285714285714" defaultRowHeight="15" customHeight="1"/>
  <cols>
    <col min="1" max="1" width="12.7142857142857" customWidth="1"/>
    <col min="2" max="2" width="21.7142857142857" customWidth="1"/>
    <col min="3" max="3" width="22" customWidth="1"/>
    <col min="4" max="4" width="20.2857142857143" customWidth="1"/>
    <col min="5" max="7" width="22" customWidth="1"/>
    <col min="8" max="8" width="23.4285714285714" customWidth="1"/>
    <col min="9" max="9" width="8.42857142857143" customWidth="1"/>
    <col min="10" max="24" width="8.71428571428571" customWidth="1"/>
  </cols>
  <sheetData>
    <row r="1" ht="17" customHeight="1" spans="1:24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26" t="s">
        <v>8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 ht="14.25" customHeight="1" spans="1:9">
      <c r="A2" s="18">
        <v>43982</v>
      </c>
      <c r="B2" s="19" t="s">
        <v>9</v>
      </c>
      <c r="C2" s="19">
        <v>7944</v>
      </c>
      <c r="D2" s="19">
        <v>623971.5</v>
      </c>
      <c r="E2" s="20">
        <f>VLOOKUP(B2,Лист2!$B:$E,2,FALSE)</f>
        <v>15</v>
      </c>
      <c r="F2" s="20">
        <f>VLOOKUP(B2,Лист2!$B:$E,3,FALSE)</f>
        <v>464</v>
      </c>
      <c r="G2" s="20">
        <f>VLOOKUP(B2,Лист2!$B:$E,4,FALSE)</f>
        <v>390</v>
      </c>
      <c r="H2" s="21">
        <f>IF(E2=0,0,D2/E2)</f>
        <v>41598.1</v>
      </c>
      <c r="I2" s="28">
        <f>WEEKNUM(A2,2)</f>
        <v>22</v>
      </c>
    </row>
    <row r="3" ht="14.25" customHeight="1" spans="1:9">
      <c r="A3" s="22">
        <v>43981</v>
      </c>
      <c r="B3" s="23" t="s">
        <v>9</v>
      </c>
      <c r="C3" s="23">
        <v>10029</v>
      </c>
      <c r="D3" s="23">
        <v>787101</v>
      </c>
      <c r="E3" s="24">
        <f>VLOOKUP(B3,Лист2!$B:$E,2,FALSE)</f>
        <v>15</v>
      </c>
      <c r="F3" s="24">
        <f>VLOOKUP(B3,Лист2!$B:$E,3,FALSE)</f>
        <v>464</v>
      </c>
      <c r="G3" s="24">
        <f>VLOOKUP(B3,Лист2!$B:$E,4,FALSE)</f>
        <v>390</v>
      </c>
      <c r="H3" s="25">
        <f t="shared" ref="H3:H66" si="0">IF(E3=0,0,D3/E3)</f>
        <v>52473.4</v>
      </c>
      <c r="I3" s="29">
        <f t="shared" ref="I3:I66" si="1">WEEKNUM(A3,2)</f>
        <v>22</v>
      </c>
    </row>
    <row r="4" ht="14.25" customHeight="1" spans="1:9">
      <c r="A4" s="18">
        <v>43979</v>
      </c>
      <c r="B4" s="19" t="s">
        <v>9</v>
      </c>
      <c r="C4" s="19">
        <v>8536.5</v>
      </c>
      <c r="D4" s="19">
        <v>643944</v>
      </c>
      <c r="E4" s="20">
        <f>VLOOKUP(B4,Лист2!$B:$E,2,FALSE)</f>
        <v>15</v>
      </c>
      <c r="F4" s="20">
        <f>VLOOKUP(B4,Лист2!$B:$E,3,FALSE)</f>
        <v>464</v>
      </c>
      <c r="G4" s="20">
        <f>VLOOKUP(B4,Лист2!$B:$E,4,FALSE)</f>
        <v>390</v>
      </c>
      <c r="H4" s="21">
        <f t="shared" si="0"/>
        <v>42929.6</v>
      </c>
      <c r="I4" s="28">
        <f t="shared" si="1"/>
        <v>22</v>
      </c>
    </row>
    <row r="5" ht="14.25" customHeight="1" spans="1:9">
      <c r="A5" s="22">
        <v>43967</v>
      </c>
      <c r="B5" s="23" t="s">
        <v>10</v>
      </c>
      <c r="C5" s="23">
        <v>38947.5</v>
      </c>
      <c r="D5" s="23">
        <v>3395892</v>
      </c>
      <c r="E5" s="24">
        <f>VLOOKUP(B5,Лист2!$B:$E,2,FALSE)</f>
        <v>18</v>
      </c>
      <c r="F5" s="24">
        <f>VLOOKUP(B5,Лист2!$B:$E,3,FALSE)</f>
        <v>1539</v>
      </c>
      <c r="G5" s="24">
        <f>VLOOKUP(B5,Лист2!$B:$E,4,FALSE)</f>
        <v>1404</v>
      </c>
      <c r="H5" s="25">
        <f t="shared" si="0"/>
        <v>188660.666666667</v>
      </c>
      <c r="I5" s="29">
        <f t="shared" si="1"/>
        <v>20</v>
      </c>
    </row>
    <row r="6" ht="14.25" customHeight="1" spans="1:9">
      <c r="A6" s="18">
        <v>43970</v>
      </c>
      <c r="B6" s="19" t="s">
        <v>10</v>
      </c>
      <c r="C6" s="19">
        <v>31842</v>
      </c>
      <c r="D6" s="19">
        <v>2771116.5</v>
      </c>
      <c r="E6" s="20">
        <f>VLOOKUP(B6,Лист2!$B:$E,2,FALSE)</f>
        <v>18</v>
      </c>
      <c r="F6" s="20">
        <f>VLOOKUP(B6,Лист2!$B:$E,3,FALSE)</f>
        <v>1539</v>
      </c>
      <c r="G6" s="20">
        <f>VLOOKUP(B6,Лист2!$B:$E,4,FALSE)</f>
        <v>1404</v>
      </c>
      <c r="H6" s="21">
        <f t="shared" si="0"/>
        <v>153950.916666667</v>
      </c>
      <c r="I6" s="28">
        <f t="shared" si="1"/>
        <v>21</v>
      </c>
    </row>
    <row r="7" ht="14.25" customHeight="1" spans="1:9">
      <c r="A7" s="22">
        <v>43968</v>
      </c>
      <c r="B7" s="23" t="s">
        <v>10</v>
      </c>
      <c r="C7" s="23">
        <v>32023.5</v>
      </c>
      <c r="D7" s="23">
        <v>2882458.5</v>
      </c>
      <c r="E7" s="24">
        <f>VLOOKUP(B7,Лист2!$B:$E,2,FALSE)</f>
        <v>18</v>
      </c>
      <c r="F7" s="24">
        <f>VLOOKUP(B7,Лист2!$B:$E,3,FALSE)</f>
        <v>1539</v>
      </c>
      <c r="G7" s="24">
        <f>VLOOKUP(B7,Лист2!$B:$E,4,FALSE)</f>
        <v>1404</v>
      </c>
      <c r="H7" s="25">
        <f t="shared" si="0"/>
        <v>160136.583333333</v>
      </c>
      <c r="I7" s="29">
        <f t="shared" si="1"/>
        <v>20</v>
      </c>
    </row>
    <row r="8" ht="14.25" customHeight="1" spans="1:9">
      <c r="A8" s="18">
        <v>43960</v>
      </c>
      <c r="B8" s="19" t="s">
        <v>10</v>
      </c>
      <c r="C8" s="19">
        <v>31147.5</v>
      </c>
      <c r="D8" s="19">
        <v>2831019</v>
      </c>
      <c r="E8" s="20">
        <f>VLOOKUP(B8,Лист2!$B:$E,2,FALSE)</f>
        <v>18</v>
      </c>
      <c r="F8" s="20">
        <f>VLOOKUP(B8,Лист2!$B:$E,3,FALSE)</f>
        <v>1539</v>
      </c>
      <c r="G8" s="20">
        <f>VLOOKUP(B8,Лист2!$B:$E,4,FALSE)</f>
        <v>1404</v>
      </c>
      <c r="H8" s="21">
        <f t="shared" si="0"/>
        <v>157278.833333333</v>
      </c>
      <c r="I8" s="28">
        <f t="shared" si="1"/>
        <v>19</v>
      </c>
    </row>
    <row r="9" ht="14.25" customHeight="1" spans="1:9">
      <c r="A9" s="22">
        <v>43955</v>
      </c>
      <c r="B9" s="23" t="s">
        <v>10</v>
      </c>
      <c r="C9" s="23">
        <v>25566</v>
      </c>
      <c r="D9" s="23">
        <v>2372310</v>
      </c>
      <c r="E9" s="24">
        <f>VLOOKUP(B9,Лист2!$B:$E,2,FALSE)</f>
        <v>18</v>
      </c>
      <c r="F9" s="24">
        <f>VLOOKUP(B9,Лист2!$B:$E,3,FALSE)</f>
        <v>1539</v>
      </c>
      <c r="G9" s="24">
        <f>VLOOKUP(B9,Лист2!$B:$E,4,FALSE)</f>
        <v>1404</v>
      </c>
      <c r="H9" s="25">
        <f t="shared" si="0"/>
        <v>131795</v>
      </c>
      <c r="I9" s="29">
        <f t="shared" si="1"/>
        <v>19</v>
      </c>
    </row>
    <row r="10" ht="14.25" customHeight="1" spans="1:9">
      <c r="A10" s="18">
        <v>43950</v>
      </c>
      <c r="B10" s="19" t="s">
        <v>10</v>
      </c>
      <c r="C10" s="19">
        <v>29319</v>
      </c>
      <c r="D10" s="19">
        <v>2623480.5</v>
      </c>
      <c r="E10" s="20">
        <f>VLOOKUP(B10,Лист2!$B:$E,2,FALSE)</f>
        <v>18</v>
      </c>
      <c r="F10" s="20">
        <f>VLOOKUP(B10,Лист2!$B:$E,3,FALSE)</f>
        <v>1539</v>
      </c>
      <c r="G10" s="20">
        <f>VLOOKUP(B10,Лист2!$B:$E,4,FALSE)</f>
        <v>1404</v>
      </c>
      <c r="H10" s="21">
        <f t="shared" si="0"/>
        <v>145748.916666667</v>
      </c>
      <c r="I10" s="28">
        <f t="shared" si="1"/>
        <v>18</v>
      </c>
    </row>
    <row r="11" ht="14.25" customHeight="1" spans="1:9">
      <c r="A11" s="22">
        <v>43953</v>
      </c>
      <c r="B11" s="23" t="s">
        <v>10</v>
      </c>
      <c r="C11" s="23">
        <v>29031</v>
      </c>
      <c r="D11" s="23">
        <v>2711247</v>
      </c>
      <c r="E11" s="24">
        <f>VLOOKUP(B11,Лист2!$B:$E,2,FALSE)</f>
        <v>18</v>
      </c>
      <c r="F11" s="24">
        <f>VLOOKUP(B11,Лист2!$B:$E,3,FALSE)</f>
        <v>1539</v>
      </c>
      <c r="G11" s="24">
        <f>VLOOKUP(B11,Лист2!$B:$E,4,FALSE)</f>
        <v>1404</v>
      </c>
      <c r="H11" s="25">
        <f t="shared" si="0"/>
        <v>150624.833333333</v>
      </c>
      <c r="I11" s="29">
        <f t="shared" si="1"/>
        <v>18</v>
      </c>
    </row>
    <row r="12" ht="14.25" customHeight="1" spans="1:9">
      <c r="A12" s="18">
        <v>43977</v>
      </c>
      <c r="B12" s="19" t="s">
        <v>10</v>
      </c>
      <c r="C12" s="19">
        <v>33423</v>
      </c>
      <c r="D12" s="19">
        <v>2970330</v>
      </c>
      <c r="E12" s="20">
        <f>VLOOKUP(B12,Лист2!$B:$E,2,FALSE)</f>
        <v>18</v>
      </c>
      <c r="F12" s="20">
        <f>VLOOKUP(B12,Лист2!$B:$E,3,FALSE)</f>
        <v>1539</v>
      </c>
      <c r="G12" s="20">
        <f>VLOOKUP(B12,Лист2!$B:$E,4,FALSE)</f>
        <v>1404</v>
      </c>
      <c r="H12" s="21">
        <f t="shared" si="0"/>
        <v>165018.333333333</v>
      </c>
      <c r="I12" s="28">
        <f t="shared" si="1"/>
        <v>22</v>
      </c>
    </row>
    <row r="13" ht="14.25" customHeight="1" spans="1:9">
      <c r="A13" s="22">
        <v>43952</v>
      </c>
      <c r="B13" s="23" t="s">
        <v>10</v>
      </c>
      <c r="C13" s="23">
        <v>32487</v>
      </c>
      <c r="D13" s="23">
        <v>3031254</v>
      </c>
      <c r="E13" s="24">
        <f>VLOOKUP(B13,Лист2!$B:$E,2,FALSE)</f>
        <v>18</v>
      </c>
      <c r="F13" s="24">
        <f>VLOOKUP(B13,Лист2!$B:$E,3,FALSE)</f>
        <v>1539</v>
      </c>
      <c r="G13" s="24">
        <f>VLOOKUP(B13,Лист2!$B:$E,4,FALSE)</f>
        <v>1404</v>
      </c>
      <c r="H13" s="25">
        <f t="shared" si="0"/>
        <v>168403</v>
      </c>
      <c r="I13" s="29">
        <f t="shared" si="1"/>
        <v>18</v>
      </c>
    </row>
    <row r="14" ht="14.25" customHeight="1" spans="1:9">
      <c r="A14" s="18">
        <v>43963</v>
      </c>
      <c r="B14" s="19" t="s">
        <v>10</v>
      </c>
      <c r="C14" s="19">
        <v>28219.5</v>
      </c>
      <c r="D14" s="19">
        <v>2595778.5</v>
      </c>
      <c r="E14" s="20">
        <f>VLOOKUP(B14,Лист2!$B:$E,2,FALSE)</f>
        <v>18</v>
      </c>
      <c r="F14" s="20">
        <f>VLOOKUP(B14,Лист2!$B:$E,3,FALSE)</f>
        <v>1539</v>
      </c>
      <c r="G14" s="20">
        <f>VLOOKUP(B14,Лист2!$B:$E,4,FALSE)</f>
        <v>1404</v>
      </c>
      <c r="H14" s="21">
        <f t="shared" si="0"/>
        <v>144209.916666667</v>
      </c>
      <c r="I14" s="28">
        <f t="shared" si="1"/>
        <v>20</v>
      </c>
    </row>
    <row r="15" ht="14.25" customHeight="1" spans="1:9">
      <c r="A15" s="22">
        <v>43972</v>
      </c>
      <c r="B15" s="23" t="s">
        <v>10</v>
      </c>
      <c r="C15" s="23">
        <v>31272</v>
      </c>
      <c r="D15" s="23">
        <v>2744382</v>
      </c>
      <c r="E15" s="24">
        <f>VLOOKUP(B15,Лист2!$B:$E,2,FALSE)</f>
        <v>18</v>
      </c>
      <c r="F15" s="24">
        <f>VLOOKUP(B15,Лист2!$B:$E,3,FALSE)</f>
        <v>1539</v>
      </c>
      <c r="G15" s="24">
        <f>VLOOKUP(B15,Лист2!$B:$E,4,FALSE)</f>
        <v>1404</v>
      </c>
      <c r="H15" s="25">
        <f t="shared" si="0"/>
        <v>152465.666666667</v>
      </c>
      <c r="I15" s="29">
        <f t="shared" si="1"/>
        <v>21</v>
      </c>
    </row>
    <row r="16" ht="14.25" customHeight="1" spans="1:9">
      <c r="A16" s="18">
        <v>43971</v>
      </c>
      <c r="B16" s="19" t="s">
        <v>10</v>
      </c>
      <c r="C16" s="19">
        <v>34077</v>
      </c>
      <c r="D16" s="19">
        <v>2929330.5</v>
      </c>
      <c r="E16" s="20">
        <f>VLOOKUP(B16,Лист2!$B:$E,2,FALSE)</f>
        <v>18</v>
      </c>
      <c r="F16" s="20">
        <f>VLOOKUP(B16,Лист2!$B:$E,3,FALSE)</f>
        <v>1539</v>
      </c>
      <c r="G16" s="20">
        <f>VLOOKUP(B16,Лист2!$B:$E,4,FALSE)</f>
        <v>1404</v>
      </c>
      <c r="H16" s="21">
        <f t="shared" si="0"/>
        <v>162740.583333333</v>
      </c>
      <c r="I16" s="28">
        <f t="shared" si="1"/>
        <v>21</v>
      </c>
    </row>
    <row r="17" ht="14.25" customHeight="1" spans="1:9">
      <c r="A17" s="22">
        <v>43956</v>
      </c>
      <c r="B17" s="23" t="s">
        <v>10</v>
      </c>
      <c r="C17" s="23">
        <v>31566</v>
      </c>
      <c r="D17" s="23">
        <v>2906763</v>
      </c>
      <c r="E17" s="24">
        <f>VLOOKUP(B17,Лист2!$B:$E,2,FALSE)</f>
        <v>18</v>
      </c>
      <c r="F17" s="24">
        <f>VLOOKUP(B17,Лист2!$B:$E,3,FALSE)</f>
        <v>1539</v>
      </c>
      <c r="G17" s="24">
        <f>VLOOKUP(B17,Лист2!$B:$E,4,FALSE)</f>
        <v>1404</v>
      </c>
      <c r="H17" s="25">
        <f t="shared" si="0"/>
        <v>161486.833333333</v>
      </c>
      <c r="I17" s="29">
        <f t="shared" si="1"/>
        <v>19</v>
      </c>
    </row>
    <row r="18" ht="14.25" customHeight="1" spans="1:9">
      <c r="A18" s="18">
        <v>43949</v>
      </c>
      <c r="B18" s="19" t="s">
        <v>10</v>
      </c>
      <c r="C18" s="19">
        <v>26940</v>
      </c>
      <c r="D18" s="19">
        <v>2411587.5</v>
      </c>
      <c r="E18" s="20">
        <f>VLOOKUP(B18,Лист2!$B:$E,2,FALSE)</f>
        <v>18</v>
      </c>
      <c r="F18" s="20">
        <f>VLOOKUP(B18,Лист2!$B:$E,3,FALSE)</f>
        <v>1539</v>
      </c>
      <c r="G18" s="20">
        <f>VLOOKUP(B18,Лист2!$B:$E,4,FALSE)</f>
        <v>1404</v>
      </c>
      <c r="H18" s="21">
        <f t="shared" si="0"/>
        <v>133977.083333333</v>
      </c>
      <c r="I18" s="28">
        <f t="shared" si="1"/>
        <v>18</v>
      </c>
    </row>
    <row r="19" ht="14.25" customHeight="1" spans="1:9">
      <c r="A19" s="22">
        <v>43964</v>
      </c>
      <c r="B19" s="23" t="s">
        <v>10</v>
      </c>
      <c r="C19" s="23">
        <v>29241</v>
      </c>
      <c r="D19" s="23">
        <v>2629782</v>
      </c>
      <c r="E19" s="24">
        <f>VLOOKUP(B19,Лист2!$B:$E,2,FALSE)</f>
        <v>18</v>
      </c>
      <c r="F19" s="24">
        <f>VLOOKUP(B19,Лист2!$B:$E,3,FALSE)</f>
        <v>1539</v>
      </c>
      <c r="G19" s="24">
        <f>VLOOKUP(B19,Лист2!$B:$E,4,FALSE)</f>
        <v>1404</v>
      </c>
      <c r="H19" s="25">
        <f t="shared" si="0"/>
        <v>146099</v>
      </c>
      <c r="I19" s="29">
        <f t="shared" si="1"/>
        <v>20</v>
      </c>
    </row>
    <row r="20" ht="14.25" customHeight="1" spans="1:9">
      <c r="A20" s="18">
        <v>43954</v>
      </c>
      <c r="B20" s="19" t="s">
        <v>10</v>
      </c>
      <c r="C20" s="19">
        <v>26082</v>
      </c>
      <c r="D20" s="19">
        <v>2434914</v>
      </c>
      <c r="E20" s="20">
        <f>VLOOKUP(B20,Лист2!$B:$E,2,FALSE)</f>
        <v>18</v>
      </c>
      <c r="F20" s="20">
        <f>VLOOKUP(B20,Лист2!$B:$E,3,FALSE)</f>
        <v>1539</v>
      </c>
      <c r="G20" s="20">
        <f>VLOOKUP(B20,Лист2!$B:$E,4,FALSE)</f>
        <v>1404</v>
      </c>
      <c r="H20" s="21">
        <f t="shared" si="0"/>
        <v>135273</v>
      </c>
      <c r="I20" s="28">
        <f t="shared" si="1"/>
        <v>18</v>
      </c>
    </row>
    <row r="21" ht="14.25" customHeight="1" spans="1:9">
      <c r="A21" s="22">
        <v>43957</v>
      </c>
      <c r="B21" s="23" t="s">
        <v>10</v>
      </c>
      <c r="C21" s="23">
        <v>32511</v>
      </c>
      <c r="D21" s="23">
        <v>2938623</v>
      </c>
      <c r="E21" s="24">
        <f>VLOOKUP(B21,Лист2!$B:$E,2,FALSE)</f>
        <v>18</v>
      </c>
      <c r="F21" s="24">
        <f>VLOOKUP(B21,Лист2!$B:$E,3,FALSE)</f>
        <v>1539</v>
      </c>
      <c r="G21" s="24">
        <f>VLOOKUP(B21,Лист2!$B:$E,4,FALSE)</f>
        <v>1404</v>
      </c>
      <c r="H21" s="25">
        <f t="shared" si="0"/>
        <v>163256.833333333</v>
      </c>
      <c r="I21" s="29">
        <f t="shared" si="1"/>
        <v>19</v>
      </c>
    </row>
    <row r="22" ht="14.25" customHeight="1" spans="1:9">
      <c r="A22" s="18">
        <v>43974</v>
      </c>
      <c r="B22" s="19" t="s">
        <v>10</v>
      </c>
      <c r="C22" s="19">
        <v>42703.5</v>
      </c>
      <c r="D22" s="19">
        <v>3628726.5</v>
      </c>
      <c r="E22" s="20">
        <f>VLOOKUP(B22,Лист2!$B:$E,2,FALSE)</f>
        <v>18</v>
      </c>
      <c r="F22" s="20">
        <f>VLOOKUP(B22,Лист2!$B:$E,3,FALSE)</f>
        <v>1539</v>
      </c>
      <c r="G22" s="20">
        <f>VLOOKUP(B22,Лист2!$B:$E,4,FALSE)</f>
        <v>1404</v>
      </c>
      <c r="H22" s="21">
        <f t="shared" si="0"/>
        <v>201595.916666667</v>
      </c>
      <c r="I22" s="28">
        <f t="shared" si="1"/>
        <v>21</v>
      </c>
    </row>
    <row r="23" ht="14.25" customHeight="1" spans="1:9">
      <c r="A23" s="22">
        <v>43976</v>
      </c>
      <c r="B23" s="23" t="s">
        <v>10</v>
      </c>
      <c r="C23" s="23">
        <v>35592</v>
      </c>
      <c r="D23" s="23">
        <v>3176580</v>
      </c>
      <c r="E23" s="24">
        <f>VLOOKUP(B23,Лист2!$B:$E,2,FALSE)</f>
        <v>18</v>
      </c>
      <c r="F23" s="24">
        <f>VLOOKUP(B23,Лист2!$B:$E,3,FALSE)</f>
        <v>1539</v>
      </c>
      <c r="G23" s="24">
        <f>VLOOKUP(B23,Лист2!$B:$E,4,FALSE)</f>
        <v>1404</v>
      </c>
      <c r="H23" s="25">
        <f t="shared" si="0"/>
        <v>176476.666666667</v>
      </c>
      <c r="I23" s="29">
        <f t="shared" si="1"/>
        <v>22</v>
      </c>
    </row>
    <row r="24" ht="14.25" customHeight="1" spans="1:9">
      <c r="A24" s="18">
        <v>43951</v>
      </c>
      <c r="B24" s="19" t="s">
        <v>10</v>
      </c>
      <c r="C24" s="19">
        <v>30445.5</v>
      </c>
      <c r="D24" s="19">
        <v>2817196.5</v>
      </c>
      <c r="E24" s="20">
        <f>VLOOKUP(B24,Лист2!$B:$E,2,FALSE)</f>
        <v>18</v>
      </c>
      <c r="F24" s="20">
        <f>VLOOKUP(B24,Лист2!$B:$E,3,FALSE)</f>
        <v>1539</v>
      </c>
      <c r="G24" s="20">
        <f>VLOOKUP(B24,Лист2!$B:$E,4,FALSE)</f>
        <v>1404</v>
      </c>
      <c r="H24" s="21">
        <f t="shared" si="0"/>
        <v>156510.916666667</v>
      </c>
      <c r="I24" s="28">
        <f t="shared" si="1"/>
        <v>18</v>
      </c>
    </row>
    <row r="25" ht="14.25" customHeight="1" spans="1:9">
      <c r="A25" s="22">
        <v>43961</v>
      </c>
      <c r="B25" s="23" t="s">
        <v>10</v>
      </c>
      <c r="C25" s="23">
        <v>36619.5</v>
      </c>
      <c r="D25" s="23">
        <v>3312967.5</v>
      </c>
      <c r="E25" s="24">
        <f>VLOOKUP(B25,Лист2!$B:$E,2,FALSE)</f>
        <v>18</v>
      </c>
      <c r="F25" s="24">
        <f>VLOOKUP(B25,Лист2!$B:$E,3,FALSE)</f>
        <v>1539</v>
      </c>
      <c r="G25" s="24">
        <f>VLOOKUP(B25,Лист2!$B:$E,4,FALSE)</f>
        <v>1404</v>
      </c>
      <c r="H25" s="25">
        <f t="shared" si="0"/>
        <v>184053.75</v>
      </c>
      <c r="I25" s="29">
        <f t="shared" si="1"/>
        <v>19</v>
      </c>
    </row>
    <row r="26" ht="14.25" customHeight="1" spans="1:9">
      <c r="A26" s="18">
        <v>43959</v>
      </c>
      <c r="B26" s="19" t="s">
        <v>10</v>
      </c>
      <c r="C26" s="19">
        <v>29409</v>
      </c>
      <c r="D26" s="19">
        <v>2645160</v>
      </c>
      <c r="E26" s="20">
        <f>VLOOKUP(B26,Лист2!$B:$E,2,FALSE)</f>
        <v>18</v>
      </c>
      <c r="F26" s="20">
        <f>VLOOKUP(B26,Лист2!$B:$E,3,FALSE)</f>
        <v>1539</v>
      </c>
      <c r="G26" s="20">
        <f>VLOOKUP(B26,Лист2!$B:$E,4,FALSE)</f>
        <v>1404</v>
      </c>
      <c r="H26" s="21">
        <f t="shared" si="0"/>
        <v>146953.333333333</v>
      </c>
      <c r="I26" s="28">
        <f t="shared" si="1"/>
        <v>19</v>
      </c>
    </row>
    <row r="27" ht="14.25" customHeight="1" spans="1:9">
      <c r="A27" s="22">
        <v>43958</v>
      </c>
      <c r="B27" s="23" t="s">
        <v>10</v>
      </c>
      <c r="C27" s="23">
        <v>27018</v>
      </c>
      <c r="D27" s="23">
        <v>2472213</v>
      </c>
      <c r="E27" s="24">
        <f>VLOOKUP(B27,Лист2!$B:$E,2,FALSE)</f>
        <v>18</v>
      </c>
      <c r="F27" s="24">
        <f>VLOOKUP(B27,Лист2!$B:$E,3,FALSE)</f>
        <v>1539</v>
      </c>
      <c r="G27" s="24">
        <f>VLOOKUP(B27,Лист2!$B:$E,4,FALSE)</f>
        <v>1404</v>
      </c>
      <c r="H27" s="25">
        <f t="shared" si="0"/>
        <v>137345.166666667</v>
      </c>
      <c r="I27" s="29">
        <f t="shared" si="1"/>
        <v>19</v>
      </c>
    </row>
    <row r="28" ht="14.25" customHeight="1" spans="1:9">
      <c r="A28" s="18">
        <v>43975</v>
      </c>
      <c r="B28" s="19" t="s">
        <v>10</v>
      </c>
      <c r="C28" s="19">
        <v>34303.5</v>
      </c>
      <c r="D28" s="19">
        <v>2924746.5</v>
      </c>
      <c r="E28" s="20">
        <f>VLOOKUP(B28,Лист2!$B:$E,2,FALSE)</f>
        <v>18</v>
      </c>
      <c r="F28" s="20">
        <f>VLOOKUP(B28,Лист2!$B:$E,3,FALSE)</f>
        <v>1539</v>
      </c>
      <c r="G28" s="20">
        <f>VLOOKUP(B28,Лист2!$B:$E,4,FALSE)</f>
        <v>1404</v>
      </c>
      <c r="H28" s="21">
        <f t="shared" si="0"/>
        <v>162485.916666667</v>
      </c>
      <c r="I28" s="28">
        <f t="shared" si="1"/>
        <v>21</v>
      </c>
    </row>
    <row r="29" ht="14.25" customHeight="1" spans="1:9">
      <c r="A29" s="22">
        <v>43982</v>
      </c>
      <c r="B29" s="23" t="s">
        <v>10</v>
      </c>
      <c r="C29" s="23">
        <v>36999</v>
      </c>
      <c r="D29" s="23">
        <v>3473895</v>
      </c>
      <c r="E29" s="24">
        <f>VLOOKUP(B29,Лист2!$B:$E,2,FALSE)</f>
        <v>18</v>
      </c>
      <c r="F29" s="24">
        <f>VLOOKUP(B29,Лист2!$B:$E,3,FALSE)</f>
        <v>1539</v>
      </c>
      <c r="G29" s="24">
        <f>VLOOKUP(B29,Лист2!$B:$E,4,FALSE)</f>
        <v>1404</v>
      </c>
      <c r="H29" s="25">
        <f t="shared" si="0"/>
        <v>192994.166666667</v>
      </c>
      <c r="I29" s="29">
        <f t="shared" si="1"/>
        <v>22</v>
      </c>
    </row>
    <row r="30" ht="14.25" customHeight="1" spans="1:9">
      <c r="A30" s="18">
        <v>43981</v>
      </c>
      <c r="B30" s="19" t="s">
        <v>10</v>
      </c>
      <c r="C30" s="19">
        <v>44001</v>
      </c>
      <c r="D30" s="19">
        <v>3921784.5</v>
      </c>
      <c r="E30" s="20">
        <f>VLOOKUP(B30,Лист2!$B:$E,2,FALSE)</f>
        <v>18</v>
      </c>
      <c r="F30" s="20">
        <f>VLOOKUP(B30,Лист2!$B:$E,3,FALSE)</f>
        <v>1539</v>
      </c>
      <c r="G30" s="20">
        <f>VLOOKUP(B30,Лист2!$B:$E,4,FALSE)</f>
        <v>1404</v>
      </c>
      <c r="H30" s="21">
        <f t="shared" si="0"/>
        <v>217876.916666667</v>
      </c>
      <c r="I30" s="28">
        <f t="shared" si="1"/>
        <v>22</v>
      </c>
    </row>
    <row r="31" ht="14.25" customHeight="1" spans="1:9">
      <c r="A31" s="22">
        <v>43979</v>
      </c>
      <c r="B31" s="23" t="s">
        <v>10</v>
      </c>
      <c r="C31" s="23">
        <v>30982.5</v>
      </c>
      <c r="D31" s="23">
        <v>2827773</v>
      </c>
      <c r="E31" s="24">
        <f>VLOOKUP(B31,Лист2!$B:$E,2,FALSE)</f>
        <v>18</v>
      </c>
      <c r="F31" s="24">
        <f>VLOOKUP(B31,Лист2!$B:$E,3,FALSE)</f>
        <v>1539</v>
      </c>
      <c r="G31" s="24">
        <f>VLOOKUP(B31,Лист2!$B:$E,4,FALSE)</f>
        <v>1404</v>
      </c>
      <c r="H31" s="25">
        <f t="shared" si="0"/>
        <v>157098.5</v>
      </c>
      <c r="I31" s="29">
        <f t="shared" si="1"/>
        <v>22</v>
      </c>
    </row>
    <row r="32" ht="14.25" customHeight="1" spans="1:9">
      <c r="A32" s="18">
        <v>43967</v>
      </c>
      <c r="B32" s="19" t="s">
        <v>11</v>
      </c>
      <c r="C32" s="19">
        <v>88063.5</v>
      </c>
      <c r="D32" s="19">
        <v>7583758.5</v>
      </c>
      <c r="E32" s="20">
        <f>VLOOKUP(B32,Лист2!$B:$E,2,FALSE)</f>
        <v>31</v>
      </c>
      <c r="F32" s="20">
        <f>VLOOKUP(B32,Лист2!$B:$E,3,FALSE)</f>
        <v>5465</v>
      </c>
      <c r="G32" s="20">
        <f>VLOOKUP(B32,Лист2!$B:$E,4,FALSE)</f>
        <v>5096</v>
      </c>
      <c r="H32" s="21">
        <f t="shared" si="0"/>
        <v>244637.370967742</v>
      </c>
      <c r="I32" s="28">
        <f t="shared" si="1"/>
        <v>20</v>
      </c>
    </row>
    <row r="33" ht="14.25" customHeight="1" spans="1:9">
      <c r="A33" s="22">
        <v>43970</v>
      </c>
      <c r="B33" s="23" t="s">
        <v>11</v>
      </c>
      <c r="C33" s="23">
        <v>84024</v>
      </c>
      <c r="D33" s="23">
        <v>6815511</v>
      </c>
      <c r="E33" s="24">
        <f>VLOOKUP(B33,Лист2!$B:$E,2,FALSE)</f>
        <v>31</v>
      </c>
      <c r="F33" s="24">
        <f>VLOOKUP(B33,Лист2!$B:$E,3,FALSE)</f>
        <v>5465</v>
      </c>
      <c r="G33" s="24">
        <f>VLOOKUP(B33,Лист2!$B:$E,4,FALSE)</f>
        <v>5096</v>
      </c>
      <c r="H33" s="25">
        <f t="shared" si="0"/>
        <v>219855.193548387</v>
      </c>
      <c r="I33" s="29">
        <f t="shared" si="1"/>
        <v>21</v>
      </c>
    </row>
    <row r="34" ht="14.25" customHeight="1" spans="1:9">
      <c r="A34" s="18">
        <v>43968</v>
      </c>
      <c r="B34" s="19" t="s">
        <v>11</v>
      </c>
      <c r="C34" s="19">
        <v>78057</v>
      </c>
      <c r="D34" s="19">
        <v>6774946.5</v>
      </c>
      <c r="E34" s="20">
        <f>VLOOKUP(B34,Лист2!$B:$E,2,FALSE)</f>
        <v>31</v>
      </c>
      <c r="F34" s="20">
        <f>VLOOKUP(B34,Лист2!$B:$E,3,FALSE)</f>
        <v>5465</v>
      </c>
      <c r="G34" s="20">
        <f>VLOOKUP(B34,Лист2!$B:$E,4,FALSE)</f>
        <v>5096</v>
      </c>
      <c r="H34" s="21">
        <f t="shared" si="0"/>
        <v>218546.661290323</v>
      </c>
      <c r="I34" s="28">
        <f t="shared" si="1"/>
        <v>20</v>
      </c>
    </row>
    <row r="35" ht="14.25" customHeight="1" spans="1:9">
      <c r="A35" s="22">
        <v>43960</v>
      </c>
      <c r="B35" s="23" t="s">
        <v>11</v>
      </c>
      <c r="C35" s="23">
        <v>69720</v>
      </c>
      <c r="D35" s="23">
        <v>6264933</v>
      </c>
      <c r="E35" s="24">
        <f>VLOOKUP(B35,Лист2!$B:$E,2,FALSE)</f>
        <v>31</v>
      </c>
      <c r="F35" s="24">
        <f>VLOOKUP(B35,Лист2!$B:$E,3,FALSE)</f>
        <v>5465</v>
      </c>
      <c r="G35" s="24">
        <f>VLOOKUP(B35,Лист2!$B:$E,4,FALSE)</f>
        <v>5096</v>
      </c>
      <c r="H35" s="25">
        <f t="shared" si="0"/>
        <v>202094.612903226</v>
      </c>
      <c r="I35" s="29">
        <f t="shared" si="1"/>
        <v>19</v>
      </c>
    </row>
    <row r="36" ht="14.25" customHeight="1" spans="1:9">
      <c r="A36" s="18">
        <v>43955</v>
      </c>
      <c r="B36" s="19" t="s">
        <v>11</v>
      </c>
      <c r="C36" s="19">
        <v>72928.5</v>
      </c>
      <c r="D36" s="19">
        <v>6642249</v>
      </c>
      <c r="E36" s="20">
        <f>VLOOKUP(B36,Лист2!$B:$E,2,FALSE)</f>
        <v>31</v>
      </c>
      <c r="F36" s="20">
        <f>VLOOKUP(B36,Лист2!$B:$E,3,FALSE)</f>
        <v>5465</v>
      </c>
      <c r="G36" s="20">
        <f>VLOOKUP(B36,Лист2!$B:$E,4,FALSE)</f>
        <v>5096</v>
      </c>
      <c r="H36" s="21">
        <f t="shared" si="0"/>
        <v>214266.096774194</v>
      </c>
      <c r="I36" s="28">
        <f t="shared" si="1"/>
        <v>19</v>
      </c>
    </row>
    <row r="37" ht="14.25" customHeight="1" spans="1:9">
      <c r="A37" s="22">
        <v>43950</v>
      </c>
      <c r="B37" s="23" t="s">
        <v>11</v>
      </c>
      <c r="C37" s="23">
        <v>79527</v>
      </c>
      <c r="D37" s="23">
        <v>7180498.5</v>
      </c>
      <c r="E37" s="24">
        <f>VLOOKUP(B37,Лист2!$B:$E,2,FALSE)</f>
        <v>31</v>
      </c>
      <c r="F37" s="24">
        <f>VLOOKUP(B37,Лист2!$B:$E,3,FALSE)</f>
        <v>5465</v>
      </c>
      <c r="G37" s="24">
        <f>VLOOKUP(B37,Лист2!$B:$E,4,FALSE)</f>
        <v>5096</v>
      </c>
      <c r="H37" s="25">
        <f t="shared" si="0"/>
        <v>231628.983870968</v>
      </c>
      <c r="I37" s="29">
        <f t="shared" si="1"/>
        <v>18</v>
      </c>
    </row>
    <row r="38" ht="14.25" customHeight="1" spans="1:9">
      <c r="A38" s="18">
        <v>43953</v>
      </c>
      <c r="B38" s="19" t="s">
        <v>11</v>
      </c>
      <c r="C38" s="19">
        <v>60463.5</v>
      </c>
      <c r="D38" s="19">
        <v>5554192.5</v>
      </c>
      <c r="E38" s="20">
        <f>VLOOKUP(B38,Лист2!$B:$E,2,FALSE)</f>
        <v>31</v>
      </c>
      <c r="F38" s="20">
        <f>VLOOKUP(B38,Лист2!$B:$E,3,FALSE)</f>
        <v>5465</v>
      </c>
      <c r="G38" s="20">
        <f>VLOOKUP(B38,Лист2!$B:$E,4,FALSE)</f>
        <v>5096</v>
      </c>
      <c r="H38" s="21">
        <f t="shared" si="0"/>
        <v>179167.5</v>
      </c>
      <c r="I38" s="28">
        <f t="shared" si="1"/>
        <v>18</v>
      </c>
    </row>
    <row r="39" ht="14.25" customHeight="1" spans="1:9">
      <c r="A39" s="22">
        <v>43977</v>
      </c>
      <c r="B39" s="23" t="s">
        <v>11</v>
      </c>
      <c r="C39" s="23">
        <v>79975.5</v>
      </c>
      <c r="D39" s="23">
        <v>6676459.5</v>
      </c>
      <c r="E39" s="24">
        <f>VLOOKUP(B39,Лист2!$B:$E,2,FALSE)</f>
        <v>31</v>
      </c>
      <c r="F39" s="24">
        <f>VLOOKUP(B39,Лист2!$B:$E,3,FALSE)</f>
        <v>5465</v>
      </c>
      <c r="G39" s="24">
        <f>VLOOKUP(B39,Лист2!$B:$E,4,FALSE)</f>
        <v>5096</v>
      </c>
      <c r="H39" s="25">
        <f t="shared" si="0"/>
        <v>215369.661290323</v>
      </c>
      <c r="I39" s="29">
        <f t="shared" si="1"/>
        <v>22</v>
      </c>
    </row>
    <row r="40" ht="14.25" customHeight="1" spans="1:9">
      <c r="A40" s="18">
        <v>43952</v>
      </c>
      <c r="B40" s="19" t="s">
        <v>11</v>
      </c>
      <c r="C40" s="19">
        <v>97534.5</v>
      </c>
      <c r="D40" s="19">
        <v>8893024.5</v>
      </c>
      <c r="E40" s="20">
        <f>VLOOKUP(B40,Лист2!$B:$E,2,FALSE)</f>
        <v>31</v>
      </c>
      <c r="F40" s="20">
        <f>VLOOKUP(B40,Лист2!$B:$E,3,FALSE)</f>
        <v>5465</v>
      </c>
      <c r="G40" s="20">
        <f>VLOOKUP(B40,Лист2!$B:$E,4,FALSE)</f>
        <v>5096</v>
      </c>
      <c r="H40" s="21">
        <f t="shared" si="0"/>
        <v>286871.758064516</v>
      </c>
      <c r="I40" s="28">
        <f t="shared" si="1"/>
        <v>18</v>
      </c>
    </row>
    <row r="41" ht="14.25" customHeight="1" spans="1:9">
      <c r="A41" s="22">
        <v>43963</v>
      </c>
      <c r="B41" s="23" t="s">
        <v>11</v>
      </c>
      <c r="C41" s="23">
        <v>71520</v>
      </c>
      <c r="D41" s="23">
        <v>6398361</v>
      </c>
      <c r="E41" s="24">
        <f>VLOOKUP(B41,Лист2!$B:$E,2,FALSE)</f>
        <v>31</v>
      </c>
      <c r="F41" s="24">
        <f>VLOOKUP(B41,Лист2!$B:$E,3,FALSE)</f>
        <v>5465</v>
      </c>
      <c r="G41" s="24">
        <f>VLOOKUP(B41,Лист2!$B:$E,4,FALSE)</f>
        <v>5096</v>
      </c>
      <c r="H41" s="25">
        <f t="shared" si="0"/>
        <v>206398.741935484</v>
      </c>
      <c r="I41" s="29">
        <f t="shared" si="1"/>
        <v>20</v>
      </c>
    </row>
    <row r="42" ht="14.25" customHeight="1" spans="1:9">
      <c r="A42" s="18">
        <v>43972</v>
      </c>
      <c r="B42" s="19" t="s">
        <v>11</v>
      </c>
      <c r="C42" s="19">
        <v>79485</v>
      </c>
      <c r="D42" s="19">
        <v>6633847.5</v>
      </c>
      <c r="E42" s="20">
        <f>VLOOKUP(B42,Лист2!$B:$E,2,FALSE)</f>
        <v>31</v>
      </c>
      <c r="F42" s="20">
        <f>VLOOKUP(B42,Лист2!$B:$E,3,FALSE)</f>
        <v>5465</v>
      </c>
      <c r="G42" s="20">
        <f>VLOOKUP(B42,Лист2!$B:$E,4,FALSE)</f>
        <v>5096</v>
      </c>
      <c r="H42" s="21">
        <f t="shared" si="0"/>
        <v>213995.080645161</v>
      </c>
      <c r="I42" s="28">
        <f t="shared" si="1"/>
        <v>21</v>
      </c>
    </row>
    <row r="43" ht="14.25" customHeight="1" spans="1:9">
      <c r="A43" s="22">
        <v>43971</v>
      </c>
      <c r="B43" s="23" t="s">
        <v>11</v>
      </c>
      <c r="C43" s="23">
        <v>93313.5</v>
      </c>
      <c r="D43" s="23">
        <v>7247575.5</v>
      </c>
      <c r="E43" s="24">
        <f>VLOOKUP(B43,Лист2!$B:$E,2,FALSE)</f>
        <v>31</v>
      </c>
      <c r="F43" s="24">
        <f>VLOOKUP(B43,Лист2!$B:$E,3,FALSE)</f>
        <v>5465</v>
      </c>
      <c r="G43" s="24">
        <f>VLOOKUP(B43,Лист2!$B:$E,4,FALSE)</f>
        <v>5096</v>
      </c>
      <c r="H43" s="25">
        <f t="shared" si="0"/>
        <v>233792.758064516</v>
      </c>
      <c r="I43" s="29">
        <f t="shared" si="1"/>
        <v>21</v>
      </c>
    </row>
    <row r="44" ht="14.25" customHeight="1" spans="1:9">
      <c r="A44" s="18">
        <v>43956</v>
      </c>
      <c r="B44" s="19" t="s">
        <v>11</v>
      </c>
      <c r="C44" s="19">
        <v>76585.5</v>
      </c>
      <c r="D44" s="19">
        <v>6921316.5</v>
      </c>
      <c r="E44" s="20">
        <f>VLOOKUP(B44,Лист2!$B:$E,2,FALSE)</f>
        <v>31</v>
      </c>
      <c r="F44" s="20">
        <f>VLOOKUP(B44,Лист2!$B:$E,3,FALSE)</f>
        <v>5465</v>
      </c>
      <c r="G44" s="20">
        <f>VLOOKUP(B44,Лист2!$B:$E,4,FALSE)</f>
        <v>5096</v>
      </c>
      <c r="H44" s="21">
        <f t="shared" si="0"/>
        <v>223268.274193548</v>
      </c>
      <c r="I44" s="28">
        <f t="shared" si="1"/>
        <v>19</v>
      </c>
    </row>
    <row r="45" ht="14.25" customHeight="1" spans="1:9">
      <c r="A45" s="22">
        <v>43949</v>
      </c>
      <c r="B45" s="23" t="s">
        <v>11</v>
      </c>
      <c r="C45" s="23">
        <v>81826.5</v>
      </c>
      <c r="D45" s="23">
        <v>7163644.5</v>
      </c>
      <c r="E45" s="24">
        <f>VLOOKUP(B45,Лист2!$B:$E,2,FALSE)</f>
        <v>31</v>
      </c>
      <c r="F45" s="24">
        <f>VLOOKUP(B45,Лист2!$B:$E,3,FALSE)</f>
        <v>5465</v>
      </c>
      <c r="G45" s="24">
        <f>VLOOKUP(B45,Лист2!$B:$E,4,FALSE)</f>
        <v>5096</v>
      </c>
      <c r="H45" s="25">
        <f t="shared" si="0"/>
        <v>231085.306451613</v>
      </c>
      <c r="I45" s="29">
        <f t="shared" si="1"/>
        <v>18</v>
      </c>
    </row>
    <row r="46" ht="14.25" customHeight="1" spans="1:9">
      <c r="A46" s="18">
        <v>43964</v>
      </c>
      <c r="B46" s="19" t="s">
        <v>11</v>
      </c>
      <c r="C46" s="19">
        <v>78846</v>
      </c>
      <c r="D46" s="19">
        <v>6993952.5</v>
      </c>
      <c r="E46" s="20">
        <f>VLOOKUP(B46,Лист2!$B:$E,2,FALSE)</f>
        <v>31</v>
      </c>
      <c r="F46" s="20">
        <f>VLOOKUP(B46,Лист2!$B:$E,3,FALSE)</f>
        <v>5465</v>
      </c>
      <c r="G46" s="20">
        <f>VLOOKUP(B46,Лист2!$B:$E,4,FALSE)</f>
        <v>5096</v>
      </c>
      <c r="H46" s="21">
        <f t="shared" si="0"/>
        <v>225611.370967742</v>
      </c>
      <c r="I46" s="28">
        <f t="shared" si="1"/>
        <v>20</v>
      </c>
    </row>
    <row r="47" ht="14.25" customHeight="1" spans="1:9">
      <c r="A47" s="22">
        <v>43954</v>
      </c>
      <c r="B47" s="23" t="s">
        <v>11</v>
      </c>
      <c r="C47" s="23">
        <v>77263.5</v>
      </c>
      <c r="D47" s="23">
        <v>7013670</v>
      </c>
      <c r="E47" s="24">
        <f>VLOOKUP(B47,Лист2!$B:$E,2,FALSE)</f>
        <v>31</v>
      </c>
      <c r="F47" s="24">
        <f>VLOOKUP(B47,Лист2!$B:$E,3,FALSE)</f>
        <v>5465</v>
      </c>
      <c r="G47" s="24">
        <f>VLOOKUP(B47,Лист2!$B:$E,4,FALSE)</f>
        <v>5096</v>
      </c>
      <c r="H47" s="25">
        <f t="shared" si="0"/>
        <v>226247.419354839</v>
      </c>
      <c r="I47" s="29">
        <f t="shared" si="1"/>
        <v>18</v>
      </c>
    </row>
    <row r="48" ht="14.25" customHeight="1" spans="1:9">
      <c r="A48" s="18">
        <v>43957</v>
      </c>
      <c r="B48" s="19" t="s">
        <v>11</v>
      </c>
      <c r="C48" s="19">
        <v>68994</v>
      </c>
      <c r="D48" s="19">
        <v>6168657</v>
      </c>
      <c r="E48" s="20">
        <f>VLOOKUP(B48,Лист2!$B:$E,2,FALSE)</f>
        <v>31</v>
      </c>
      <c r="F48" s="20">
        <f>VLOOKUP(B48,Лист2!$B:$E,3,FALSE)</f>
        <v>5465</v>
      </c>
      <c r="G48" s="20">
        <f>VLOOKUP(B48,Лист2!$B:$E,4,FALSE)</f>
        <v>5096</v>
      </c>
      <c r="H48" s="21">
        <f t="shared" si="0"/>
        <v>198988.935483871</v>
      </c>
      <c r="I48" s="28">
        <f t="shared" si="1"/>
        <v>19</v>
      </c>
    </row>
    <row r="49" ht="14.25" customHeight="1" spans="1:9">
      <c r="A49" s="22">
        <v>43974</v>
      </c>
      <c r="B49" s="23" t="s">
        <v>11</v>
      </c>
      <c r="C49" s="23">
        <v>102889.5</v>
      </c>
      <c r="D49" s="23">
        <v>8089143</v>
      </c>
      <c r="E49" s="24">
        <f>VLOOKUP(B49,Лист2!$B:$E,2,FALSE)</f>
        <v>31</v>
      </c>
      <c r="F49" s="24">
        <f>VLOOKUP(B49,Лист2!$B:$E,3,FALSE)</f>
        <v>5465</v>
      </c>
      <c r="G49" s="24">
        <f>VLOOKUP(B49,Лист2!$B:$E,4,FALSE)</f>
        <v>5096</v>
      </c>
      <c r="H49" s="25">
        <f t="shared" si="0"/>
        <v>260940.096774194</v>
      </c>
      <c r="I49" s="29">
        <f t="shared" si="1"/>
        <v>21</v>
      </c>
    </row>
    <row r="50" ht="14.25" customHeight="1" spans="1:9">
      <c r="A50" s="18">
        <v>43976</v>
      </c>
      <c r="B50" s="19" t="s">
        <v>11</v>
      </c>
      <c r="C50" s="19">
        <v>76999.5</v>
      </c>
      <c r="D50" s="19">
        <v>6645603</v>
      </c>
      <c r="E50" s="20">
        <f>VLOOKUP(B50,Лист2!$B:$E,2,FALSE)</f>
        <v>31</v>
      </c>
      <c r="F50" s="20">
        <f>VLOOKUP(B50,Лист2!$B:$E,3,FALSE)</f>
        <v>5465</v>
      </c>
      <c r="G50" s="20">
        <f>VLOOKUP(B50,Лист2!$B:$E,4,FALSE)</f>
        <v>5096</v>
      </c>
      <c r="H50" s="21">
        <f t="shared" si="0"/>
        <v>214374.290322581</v>
      </c>
      <c r="I50" s="28">
        <f t="shared" si="1"/>
        <v>22</v>
      </c>
    </row>
    <row r="51" ht="14.25" customHeight="1" spans="1:9">
      <c r="A51" s="22">
        <v>43951</v>
      </c>
      <c r="B51" s="23" t="s">
        <v>11</v>
      </c>
      <c r="C51" s="23">
        <v>77565</v>
      </c>
      <c r="D51" s="23">
        <v>7023727.5</v>
      </c>
      <c r="E51" s="24">
        <f>VLOOKUP(B51,Лист2!$B:$E,2,FALSE)</f>
        <v>31</v>
      </c>
      <c r="F51" s="24">
        <f>VLOOKUP(B51,Лист2!$B:$E,3,FALSE)</f>
        <v>5465</v>
      </c>
      <c r="G51" s="24">
        <f>VLOOKUP(B51,Лист2!$B:$E,4,FALSE)</f>
        <v>5096</v>
      </c>
      <c r="H51" s="25">
        <f t="shared" si="0"/>
        <v>226571.85483871</v>
      </c>
      <c r="I51" s="29">
        <f t="shared" si="1"/>
        <v>18</v>
      </c>
    </row>
    <row r="52" ht="14.25" customHeight="1" spans="1:9">
      <c r="A52" s="18">
        <v>43961</v>
      </c>
      <c r="B52" s="19" t="s">
        <v>11</v>
      </c>
      <c r="C52" s="19">
        <v>84132</v>
      </c>
      <c r="D52" s="19">
        <v>7483194</v>
      </c>
      <c r="E52" s="20">
        <f>VLOOKUP(B52,Лист2!$B:$E,2,FALSE)</f>
        <v>31</v>
      </c>
      <c r="F52" s="20">
        <f>VLOOKUP(B52,Лист2!$B:$E,3,FALSE)</f>
        <v>5465</v>
      </c>
      <c r="G52" s="20">
        <f>VLOOKUP(B52,Лист2!$B:$E,4,FALSE)</f>
        <v>5096</v>
      </c>
      <c r="H52" s="21">
        <f t="shared" si="0"/>
        <v>241393.35483871</v>
      </c>
      <c r="I52" s="28">
        <f t="shared" si="1"/>
        <v>19</v>
      </c>
    </row>
    <row r="53" ht="14.25" customHeight="1" spans="1:9">
      <c r="A53" s="22">
        <v>43959</v>
      </c>
      <c r="B53" s="23" t="s">
        <v>11</v>
      </c>
      <c r="C53" s="23">
        <v>69544.5</v>
      </c>
      <c r="D53" s="23">
        <v>6293776.5</v>
      </c>
      <c r="E53" s="24">
        <f>VLOOKUP(B53,Лист2!$B:$E,2,FALSE)</f>
        <v>31</v>
      </c>
      <c r="F53" s="24">
        <f>VLOOKUP(B53,Лист2!$B:$E,3,FALSE)</f>
        <v>5465</v>
      </c>
      <c r="G53" s="24">
        <f>VLOOKUP(B53,Лист2!$B:$E,4,FALSE)</f>
        <v>5096</v>
      </c>
      <c r="H53" s="25">
        <f t="shared" si="0"/>
        <v>203025.048387097</v>
      </c>
      <c r="I53" s="29">
        <f t="shared" si="1"/>
        <v>19</v>
      </c>
    </row>
    <row r="54" ht="14.25" customHeight="1" spans="1:9">
      <c r="A54" s="18">
        <v>43958</v>
      </c>
      <c r="B54" s="19" t="s">
        <v>11</v>
      </c>
      <c r="C54" s="19">
        <v>73204.5</v>
      </c>
      <c r="D54" s="19">
        <v>6591883.5</v>
      </c>
      <c r="E54" s="20">
        <f>VLOOKUP(B54,Лист2!$B:$E,2,FALSE)</f>
        <v>31</v>
      </c>
      <c r="F54" s="20">
        <f>VLOOKUP(B54,Лист2!$B:$E,3,FALSE)</f>
        <v>5465</v>
      </c>
      <c r="G54" s="20">
        <f>VLOOKUP(B54,Лист2!$B:$E,4,FALSE)</f>
        <v>5096</v>
      </c>
      <c r="H54" s="21">
        <f t="shared" si="0"/>
        <v>212641.403225806</v>
      </c>
      <c r="I54" s="28">
        <f t="shared" si="1"/>
        <v>19</v>
      </c>
    </row>
    <row r="55" ht="14.25" customHeight="1" spans="1:9">
      <c r="A55" s="22">
        <v>43975</v>
      </c>
      <c r="B55" s="23" t="s">
        <v>11</v>
      </c>
      <c r="C55" s="23">
        <v>76663.5</v>
      </c>
      <c r="D55" s="23">
        <v>6451032</v>
      </c>
      <c r="E55" s="24">
        <f>VLOOKUP(B55,Лист2!$B:$E,2,FALSE)</f>
        <v>31</v>
      </c>
      <c r="F55" s="24">
        <f>VLOOKUP(B55,Лист2!$B:$E,3,FALSE)</f>
        <v>5465</v>
      </c>
      <c r="G55" s="24">
        <f>VLOOKUP(B55,Лист2!$B:$E,4,FALSE)</f>
        <v>5096</v>
      </c>
      <c r="H55" s="25">
        <f t="shared" si="0"/>
        <v>208097.806451613</v>
      </c>
      <c r="I55" s="29">
        <f t="shared" si="1"/>
        <v>21</v>
      </c>
    </row>
    <row r="56" ht="14.25" customHeight="1" spans="1:9">
      <c r="A56" s="18">
        <v>43967</v>
      </c>
      <c r="B56" s="19" t="s">
        <v>12</v>
      </c>
      <c r="C56" s="19">
        <v>14265</v>
      </c>
      <c r="D56" s="19">
        <v>1130506.5</v>
      </c>
      <c r="E56" s="20">
        <f>VLOOKUP(B56,Лист2!$B:$E,2,FALSE)</f>
        <v>10</v>
      </c>
      <c r="F56" s="20">
        <f>VLOOKUP(B56,Лист2!$B:$E,3,FALSE)</f>
        <v>580</v>
      </c>
      <c r="G56" s="20">
        <f>VLOOKUP(B56,Лист2!$B:$E,4,FALSE)</f>
        <v>506</v>
      </c>
      <c r="H56" s="21">
        <f t="shared" si="0"/>
        <v>113050.65</v>
      </c>
      <c r="I56" s="28">
        <f t="shared" si="1"/>
        <v>20</v>
      </c>
    </row>
    <row r="57" ht="14.25" customHeight="1" spans="1:9">
      <c r="A57" s="22">
        <v>43970</v>
      </c>
      <c r="B57" s="23" t="s">
        <v>12</v>
      </c>
      <c r="C57" s="23">
        <v>11526</v>
      </c>
      <c r="D57" s="23">
        <v>938764.5</v>
      </c>
      <c r="E57" s="24">
        <f>VLOOKUP(B57,Лист2!$B:$E,2,FALSE)</f>
        <v>10</v>
      </c>
      <c r="F57" s="24">
        <f>VLOOKUP(B57,Лист2!$B:$E,3,FALSE)</f>
        <v>580</v>
      </c>
      <c r="G57" s="24">
        <f>VLOOKUP(B57,Лист2!$B:$E,4,FALSE)</f>
        <v>506</v>
      </c>
      <c r="H57" s="25">
        <f t="shared" si="0"/>
        <v>93876.45</v>
      </c>
      <c r="I57" s="29">
        <f t="shared" si="1"/>
        <v>21</v>
      </c>
    </row>
    <row r="58" ht="14.25" customHeight="1" spans="1:9">
      <c r="A58" s="18">
        <v>43968</v>
      </c>
      <c r="B58" s="19" t="s">
        <v>12</v>
      </c>
      <c r="C58" s="19">
        <v>10402.5</v>
      </c>
      <c r="D58" s="19">
        <v>843727.5</v>
      </c>
      <c r="E58" s="20">
        <f>VLOOKUP(B58,Лист2!$B:$E,2,FALSE)</f>
        <v>10</v>
      </c>
      <c r="F58" s="20">
        <f>VLOOKUP(B58,Лист2!$B:$E,3,FALSE)</f>
        <v>580</v>
      </c>
      <c r="G58" s="20">
        <f>VLOOKUP(B58,Лист2!$B:$E,4,FALSE)</f>
        <v>506</v>
      </c>
      <c r="H58" s="21">
        <f t="shared" si="0"/>
        <v>84372.75</v>
      </c>
      <c r="I58" s="28">
        <f t="shared" si="1"/>
        <v>20</v>
      </c>
    </row>
    <row r="59" ht="14.25" customHeight="1" spans="1:9">
      <c r="A59" s="22">
        <v>43960</v>
      </c>
      <c r="B59" s="23" t="s">
        <v>12</v>
      </c>
      <c r="C59" s="23">
        <v>13216.5</v>
      </c>
      <c r="D59" s="23">
        <v>1046400</v>
      </c>
      <c r="E59" s="24">
        <f>VLOOKUP(B59,Лист2!$B:$E,2,FALSE)</f>
        <v>10</v>
      </c>
      <c r="F59" s="24">
        <f>VLOOKUP(B59,Лист2!$B:$E,3,FALSE)</f>
        <v>580</v>
      </c>
      <c r="G59" s="24">
        <f>VLOOKUP(B59,Лист2!$B:$E,4,FALSE)</f>
        <v>506</v>
      </c>
      <c r="H59" s="25">
        <f t="shared" si="0"/>
        <v>104640</v>
      </c>
      <c r="I59" s="29">
        <f t="shared" si="1"/>
        <v>19</v>
      </c>
    </row>
    <row r="60" ht="14.25" customHeight="1" spans="1:9">
      <c r="A60" s="18">
        <v>43955</v>
      </c>
      <c r="B60" s="19" t="s">
        <v>12</v>
      </c>
      <c r="C60" s="19">
        <v>9130.5</v>
      </c>
      <c r="D60" s="19">
        <v>728890.5</v>
      </c>
      <c r="E60" s="20">
        <f>VLOOKUP(B60,Лист2!$B:$E,2,FALSE)</f>
        <v>10</v>
      </c>
      <c r="F60" s="20">
        <f>VLOOKUP(B60,Лист2!$B:$E,3,FALSE)</f>
        <v>580</v>
      </c>
      <c r="G60" s="20">
        <f>VLOOKUP(B60,Лист2!$B:$E,4,FALSE)</f>
        <v>506</v>
      </c>
      <c r="H60" s="21">
        <f t="shared" si="0"/>
        <v>72889.05</v>
      </c>
      <c r="I60" s="28">
        <f t="shared" si="1"/>
        <v>19</v>
      </c>
    </row>
    <row r="61" ht="14.25" customHeight="1" spans="1:9">
      <c r="A61" s="22">
        <v>43950</v>
      </c>
      <c r="B61" s="23" t="s">
        <v>12</v>
      </c>
      <c r="C61" s="23">
        <v>10840.5</v>
      </c>
      <c r="D61" s="23">
        <v>797919</v>
      </c>
      <c r="E61" s="24">
        <f>VLOOKUP(B61,Лист2!$B:$E,2,FALSE)</f>
        <v>10</v>
      </c>
      <c r="F61" s="24">
        <f>VLOOKUP(B61,Лист2!$B:$E,3,FALSE)</f>
        <v>580</v>
      </c>
      <c r="G61" s="24">
        <f>VLOOKUP(B61,Лист2!$B:$E,4,FALSE)</f>
        <v>506</v>
      </c>
      <c r="H61" s="25">
        <f t="shared" si="0"/>
        <v>79791.9</v>
      </c>
      <c r="I61" s="29">
        <f t="shared" si="1"/>
        <v>18</v>
      </c>
    </row>
    <row r="62" ht="14.25" customHeight="1" spans="1:9">
      <c r="A62" s="18">
        <v>43953</v>
      </c>
      <c r="B62" s="19" t="s">
        <v>12</v>
      </c>
      <c r="C62" s="19">
        <v>7866</v>
      </c>
      <c r="D62" s="19">
        <v>617881.5</v>
      </c>
      <c r="E62" s="20">
        <f>VLOOKUP(B62,Лист2!$B:$E,2,FALSE)</f>
        <v>10</v>
      </c>
      <c r="F62" s="20">
        <f>VLOOKUP(B62,Лист2!$B:$E,3,FALSE)</f>
        <v>580</v>
      </c>
      <c r="G62" s="20">
        <f>VLOOKUP(B62,Лист2!$B:$E,4,FALSE)</f>
        <v>506</v>
      </c>
      <c r="H62" s="21">
        <f t="shared" si="0"/>
        <v>61788.15</v>
      </c>
      <c r="I62" s="28">
        <f t="shared" si="1"/>
        <v>18</v>
      </c>
    </row>
    <row r="63" ht="14.25" customHeight="1" spans="1:9">
      <c r="A63" s="22">
        <v>43977</v>
      </c>
      <c r="B63" s="23" t="s">
        <v>12</v>
      </c>
      <c r="C63" s="23">
        <v>11835</v>
      </c>
      <c r="D63" s="23">
        <v>983109</v>
      </c>
      <c r="E63" s="24">
        <f>VLOOKUP(B63,Лист2!$B:$E,2,FALSE)</f>
        <v>10</v>
      </c>
      <c r="F63" s="24">
        <f>VLOOKUP(B63,Лист2!$B:$E,3,FALSE)</f>
        <v>580</v>
      </c>
      <c r="G63" s="24">
        <f>VLOOKUP(B63,Лист2!$B:$E,4,FALSE)</f>
        <v>506</v>
      </c>
      <c r="H63" s="25">
        <f t="shared" si="0"/>
        <v>98310.9</v>
      </c>
      <c r="I63" s="29">
        <f t="shared" si="1"/>
        <v>22</v>
      </c>
    </row>
    <row r="64" ht="14.25" customHeight="1" spans="1:9">
      <c r="A64" s="18">
        <v>43952</v>
      </c>
      <c r="B64" s="19" t="s">
        <v>12</v>
      </c>
      <c r="C64" s="19">
        <v>11619</v>
      </c>
      <c r="D64" s="19">
        <v>891139.5</v>
      </c>
      <c r="E64" s="20">
        <f>VLOOKUP(B64,Лист2!$B:$E,2,FALSE)</f>
        <v>10</v>
      </c>
      <c r="F64" s="20">
        <f>VLOOKUP(B64,Лист2!$B:$E,3,FALSE)</f>
        <v>580</v>
      </c>
      <c r="G64" s="20">
        <f>VLOOKUP(B64,Лист2!$B:$E,4,FALSE)</f>
        <v>506</v>
      </c>
      <c r="H64" s="21">
        <f t="shared" si="0"/>
        <v>89113.95</v>
      </c>
      <c r="I64" s="28">
        <f t="shared" si="1"/>
        <v>18</v>
      </c>
    </row>
    <row r="65" ht="14.25" customHeight="1" spans="1:9">
      <c r="A65" s="22">
        <v>43963</v>
      </c>
      <c r="B65" s="23" t="s">
        <v>12</v>
      </c>
      <c r="C65" s="23">
        <v>9328.5</v>
      </c>
      <c r="D65" s="23">
        <v>732964.5</v>
      </c>
      <c r="E65" s="24">
        <f>VLOOKUP(B65,Лист2!$B:$E,2,FALSE)</f>
        <v>10</v>
      </c>
      <c r="F65" s="24">
        <f>VLOOKUP(B65,Лист2!$B:$E,3,FALSE)</f>
        <v>580</v>
      </c>
      <c r="G65" s="24">
        <f>VLOOKUP(B65,Лист2!$B:$E,4,FALSE)</f>
        <v>506</v>
      </c>
      <c r="H65" s="25">
        <f t="shared" si="0"/>
        <v>73296.45</v>
      </c>
      <c r="I65" s="29">
        <f t="shared" si="1"/>
        <v>20</v>
      </c>
    </row>
    <row r="66" ht="14.25" customHeight="1" spans="1:9">
      <c r="A66" s="18">
        <v>43972</v>
      </c>
      <c r="B66" s="19" t="s">
        <v>12</v>
      </c>
      <c r="C66" s="19">
        <v>11250</v>
      </c>
      <c r="D66" s="19">
        <v>935523</v>
      </c>
      <c r="E66" s="20">
        <f>VLOOKUP(B66,Лист2!$B:$E,2,FALSE)</f>
        <v>10</v>
      </c>
      <c r="F66" s="20">
        <f>VLOOKUP(B66,Лист2!$B:$E,3,FALSE)</f>
        <v>580</v>
      </c>
      <c r="G66" s="20">
        <f>VLOOKUP(B66,Лист2!$B:$E,4,FALSE)</f>
        <v>506</v>
      </c>
      <c r="H66" s="21">
        <f t="shared" si="0"/>
        <v>93552.3</v>
      </c>
      <c r="I66" s="28">
        <f t="shared" si="1"/>
        <v>21</v>
      </c>
    </row>
    <row r="67" ht="14.25" customHeight="1" spans="1:9">
      <c r="A67" s="22">
        <v>43971</v>
      </c>
      <c r="B67" s="23" t="s">
        <v>12</v>
      </c>
      <c r="C67" s="23">
        <v>13063.5</v>
      </c>
      <c r="D67" s="23">
        <v>1037247</v>
      </c>
      <c r="E67" s="24">
        <f>VLOOKUP(B67,Лист2!$B:$E,2,FALSE)</f>
        <v>10</v>
      </c>
      <c r="F67" s="24">
        <f>VLOOKUP(B67,Лист2!$B:$E,3,FALSE)</f>
        <v>580</v>
      </c>
      <c r="G67" s="24">
        <f>VLOOKUP(B67,Лист2!$B:$E,4,FALSE)</f>
        <v>506</v>
      </c>
      <c r="H67" s="25">
        <f t="shared" ref="H67:H130" si="2">IF(E67=0,0,D67/E67)</f>
        <v>103724.7</v>
      </c>
      <c r="I67" s="29">
        <f t="shared" ref="I67:I130" si="3">WEEKNUM(A67,2)</f>
        <v>21</v>
      </c>
    </row>
    <row r="68" ht="14.25" customHeight="1" spans="1:9">
      <c r="A68" s="18">
        <v>43956</v>
      </c>
      <c r="B68" s="19" t="s">
        <v>12</v>
      </c>
      <c r="C68" s="19">
        <v>10147.5</v>
      </c>
      <c r="D68" s="19">
        <v>793320</v>
      </c>
      <c r="E68" s="20">
        <f>VLOOKUP(B68,Лист2!$B:$E,2,FALSE)</f>
        <v>10</v>
      </c>
      <c r="F68" s="20">
        <f>VLOOKUP(B68,Лист2!$B:$E,3,FALSE)</f>
        <v>580</v>
      </c>
      <c r="G68" s="20">
        <f>VLOOKUP(B68,Лист2!$B:$E,4,FALSE)</f>
        <v>506</v>
      </c>
      <c r="H68" s="21">
        <f t="shared" si="2"/>
        <v>79332</v>
      </c>
      <c r="I68" s="28">
        <f t="shared" si="3"/>
        <v>19</v>
      </c>
    </row>
    <row r="69" ht="14.25" customHeight="1" spans="1:9">
      <c r="A69" s="22">
        <v>43949</v>
      </c>
      <c r="B69" s="23" t="s">
        <v>12</v>
      </c>
      <c r="C69" s="23">
        <v>12331.5</v>
      </c>
      <c r="D69" s="23">
        <v>869983.5</v>
      </c>
      <c r="E69" s="24">
        <f>VLOOKUP(B69,Лист2!$B:$E,2,FALSE)</f>
        <v>10</v>
      </c>
      <c r="F69" s="24">
        <f>VLOOKUP(B69,Лист2!$B:$E,3,FALSE)</f>
        <v>580</v>
      </c>
      <c r="G69" s="24">
        <f>VLOOKUP(B69,Лист2!$B:$E,4,FALSE)</f>
        <v>506</v>
      </c>
      <c r="H69" s="25">
        <f t="shared" si="2"/>
        <v>86998.35</v>
      </c>
      <c r="I69" s="29">
        <f t="shared" si="3"/>
        <v>18</v>
      </c>
    </row>
    <row r="70" ht="14.25" customHeight="1" spans="1:9">
      <c r="A70" s="18">
        <v>43964</v>
      </c>
      <c r="B70" s="19" t="s">
        <v>12</v>
      </c>
      <c r="C70" s="19">
        <v>11202</v>
      </c>
      <c r="D70" s="19">
        <v>865714.5</v>
      </c>
      <c r="E70" s="20">
        <f>VLOOKUP(B70,Лист2!$B:$E,2,FALSE)</f>
        <v>10</v>
      </c>
      <c r="F70" s="20">
        <f>VLOOKUP(B70,Лист2!$B:$E,3,FALSE)</f>
        <v>580</v>
      </c>
      <c r="G70" s="20">
        <f>VLOOKUP(B70,Лист2!$B:$E,4,FALSE)</f>
        <v>506</v>
      </c>
      <c r="H70" s="21">
        <f t="shared" si="2"/>
        <v>86571.45</v>
      </c>
      <c r="I70" s="28">
        <f t="shared" si="3"/>
        <v>20</v>
      </c>
    </row>
    <row r="71" ht="14.25" customHeight="1" spans="1:9">
      <c r="A71" s="22">
        <v>43982</v>
      </c>
      <c r="B71" s="23" t="s">
        <v>11</v>
      </c>
      <c r="C71" s="23">
        <v>89149.5</v>
      </c>
      <c r="D71" s="23">
        <v>7512646.5</v>
      </c>
      <c r="E71" s="24">
        <f>VLOOKUP(B71,Лист2!$B:$E,2,FALSE)</f>
        <v>31</v>
      </c>
      <c r="F71" s="24">
        <f>VLOOKUP(B71,Лист2!$B:$E,3,FALSE)</f>
        <v>5465</v>
      </c>
      <c r="G71" s="24">
        <f>VLOOKUP(B71,Лист2!$B:$E,4,FALSE)</f>
        <v>5096</v>
      </c>
      <c r="H71" s="25">
        <f t="shared" si="2"/>
        <v>242343.435483871</v>
      </c>
      <c r="I71" s="29">
        <f t="shared" si="3"/>
        <v>22</v>
      </c>
    </row>
    <row r="72" ht="14.25" customHeight="1" spans="1:9">
      <c r="A72" s="18">
        <v>43954</v>
      </c>
      <c r="B72" s="19" t="s">
        <v>12</v>
      </c>
      <c r="C72" s="19">
        <v>8185.5</v>
      </c>
      <c r="D72" s="19">
        <v>637881</v>
      </c>
      <c r="E72" s="20">
        <f>VLOOKUP(B72,Лист2!$B:$E,2,FALSE)</f>
        <v>10</v>
      </c>
      <c r="F72" s="20">
        <f>VLOOKUP(B72,Лист2!$B:$E,3,FALSE)</f>
        <v>580</v>
      </c>
      <c r="G72" s="20">
        <f>VLOOKUP(B72,Лист2!$B:$E,4,FALSE)</f>
        <v>506</v>
      </c>
      <c r="H72" s="21">
        <f t="shared" si="2"/>
        <v>63788.1</v>
      </c>
      <c r="I72" s="28">
        <f t="shared" si="3"/>
        <v>18</v>
      </c>
    </row>
    <row r="73" ht="14.25" customHeight="1" spans="1:9">
      <c r="A73" s="22">
        <v>43981</v>
      </c>
      <c r="B73" s="23" t="s">
        <v>11</v>
      </c>
      <c r="C73" s="23">
        <v>108123</v>
      </c>
      <c r="D73" s="23">
        <v>9164707.5</v>
      </c>
      <c r="E73" s="24">
        <f>VLOOKUP(B73,Лист2!$B:$E,2,FALSE)</f>
        <v>31</v>
      </c>
      <c r="F73" s="24">
        <f>VLOOKUP(B73,Лист2!$B:$E,3,FALSE)</f>
        <v>5465</v>
      </c>
      <c r="G73" s="24">
        <f>VLOOKUP(B73,Лист2!$B:$E,4,FALSE)</f>
        <v>5096</v>
      </c>
      <c r="H73" s="25">
        <f t="shared" si="2"/>
        <v>295635.725806452</v>
      </c>
      <c r="I73" s="29">
        <f t="shared" si="3"/>
        <v>22</v>
      </c>
    </row>
    <row r="74" ht="14.25" customHeight="1" spans="1:9">
      <c r="A74" s="18">
        <v>43957</v>
      </c>
      <c r="B74" s="19" t="s">
        <v>12</v>
      </c>
      <c r="C74" s="19">
        <v>9210</v>
      </c>
      <c r="D74" s="19">
        <v>696832.5</v>
      </c>
      <c r="E74" s="20">
        <f>VLOOKUP(B74,Лист2!$B:$E,2,FALSE)</f>
        <v>10</v>
      </c>
      <c r="F74" s="20">
        <f>VLOOKUP(B74,Лист2!$B:$E,3,FALSE)</f>
        <v>580</v>
      </c>
      <c r="G74" s="20">
        <f>VLOOKUP(B74,Лист2!$B:$E,4,FALSE)</f>
        <v>506</v>
      </c>
      <c r="H74" s="21">
        <f t="shared" si="2"/>
        <v>69683.25</v>
      </c>
      <c r="I74" s="28">
        <f t="shared" si="3"/>
        <v>19</v>
      </c>
    </row>
    <row r="75" ht="14.25" customHeight="1" spans="1:9">
      <c r="A75" s="22">
        <v>43974</v>
      </c>
      <c r="B75" s="23" t="s">
        <v>12</v>
      </c>
      <c r="C75" s="23">
        <v>14773.5</v>
      </c>
      <c r="D75" s="23">
        <v>1241383.5</v>
      </c>
      <c r="E75" s="24">
        <f>VLOOKUP(B75,Лист2!$B:$E,2,FALSE)</f>
        <v>10</v>
      </c>
      <c r="F75" s="24">
        <f>VLOOKUP(B75,Лист2!$B:$E,3,FALSE)</f>
        <v>580</v>
      </c>
      <c r="G75" s="24">
        <f>VLOOKUP(B75,Лист2!$B:$E,4,FALSE)</f>
        <v>506</v>
      </c>
      <c r="H75" s="25">
        <f t="shared" si="2"/>
        <v>124138.35</v>
      </c>
      <c r="I75" s="29">
        <f t="shared" si="3"/>
        <v>21</v>
      </c>
    </row>
    <row r="76" ht="14.25" customHeight="1" spans="1:9">
      <c r="A76" s="18">
        <v>43979</v>
      </c>
      <c r="B76" s="19" t="s">
        <v>11</v>
      </c>
      <c r="C76" s="19">
        <v>78141</v>
      </c>
      <c r="D76" s="19">
        <v>6641569.5</v>
      </c>
      <c r="E76" s="20">
        <f>VLOOKUP(B76,Лист2!$B:$E,2,FALSE)</f>
        <v>31</v>
      </c>
      <c r="F76" s="20">
        <f>VLOOKUP(B76,Лист2!$B:$E,3,FALSE)</f>
        <v>5465</v>
      </c>
      <c r="G76" s="20">
        <f>VLOOKUP(B76,Лист2!$B:$E,4,FALSE)</f>
        <v>5096</v>
      </c>
      <c r="H76" s="21">
        <f t="shared" si="2"/>
        <v>214244.177419355</v>
      </c>
      <c r="I76" s="28">
        <f t="shared" si="3"/>
        <v>22</v>
      </c>
    </row>
    <row r="77" ht="14.25" customHeight="1" spans="1:9">
      <c r="A77" s="22">
        <v>43976</v>
      </c>
      <c r="B77" s="23" t="s">
        <v>12</v>
      </c>
      <c r="C77" s="23">
        <v>12280.5</v>
      </c>
      <c r="D77" s="23">
        <v>1030440</v>
      </c>
      <c r="E77" s="24">
        <f>VLOOKUP(B77,Лист2!$B:$E,2,FALSE)</f>
        <v>10</v>
      </c>
      <c r="F77" s="24">
        <f>VLOOKUP(B77,Лист2!$B:$E,3,FALSE)</f>
        <v>580</v>
      </c>
      <c r="G77" s="24">
        <f>VLOOKUP(B77,Лист2!$B:$E,4,FALSE)</f>
        <v>506</v>
      </c>
      <c r="H77" s="25">
        <f t="shared" si="2"/>
        <v>103044</v>
      </c>
      <c r="I77" s="29">
        <f t="shared" si="3"/>
        <v>22</v>
      </c>
    </row>
    <row r="78" ht="14.25" customHeight="1" spans="1:9">
      <c r="A78" s="18">
        <v>43951</v>
      </c>
      <c r="B78" s="19" t="s">
        <v>12</v>
      </c>
      <c r="C78" s="19">
        <v>8934</v>
      </c>
      <c r="D78" s="19">
        <v>716196</v>
      </c>
      <c r="E78" s="20">
        <f>VLOOKUP(B78,Лист2!$B:$E,2,FALSE)</f>
        <v>10</v>
      </c>
      <c r="F78" s="20">
        <f>VLOOKUP(B78,Лист2!$B:$E,3,FALSE)</f>
        <v>580</v>
      </c>
      <c r="G78" s="20">
        <f>VLOOKUP(B78,Лист2!$B:$E,4,FALSE)</f>
        <v>506</v>
      </c>
      <c r="H78" s="21">
        <f t="shared" si="2"/>
        <v>71619.6</v>
      </c>
      <c r="I78" s="28">
        <f t="shared" si="3"/>
        <v>18</v>
      </c>
    </row>
    <row r="79" ht="14.25" customHeight="1" spans="1:9">
      <c r="A79" s="22">
        <v>43961</v>
      </c>
      <c r="B79" s="23" t="s">
        <v>12</v>
      </c>
      <c r="C79" s="23">
        <v>12918</v>
      </c>
      <c r="D79" s="23">
        <v>1004788.5</v>
      </c>
      <c r="E79" s="24">
        <f>VLOOKUP(B79,Лист2!$B:$E,2,FALSE)</f>
        <v>10</v>
      </c>
      <c r="F79" s="24">
        <f>VLOOKUP(B79,Лист2!$B:$E,3,FALSE)</f>
        <v>580</v>
      </c>
      <c r="G79" s="24">
        <f>VLOOKUP(B79,Лист2!$B:$E,4,FALSE)</f>
        <v>506</v>
      </c>
      <c r="H79" s="25">
        <f t="shared" si="2"/>
        <v>100478.85</v>
      </c>
      <c r="I79" s="29">
        <f t="shared" si="3"/>
        <v>19</v>
      </c>
    </row>
    <row r="80" ht="14.25" customHeight="1" spans="1:9">
      <c r="A80" s="18">
        <v>43959</v>
      </c>
      <c r="B80" s="19" t="s">
        <v>12</v>
      </c>
      <c r="C80" s="19">
        <v>12528</v>
      </c>
      <c r="D80" s="19">
        <v>959703</v>
      </c>
      <c r="E80" s="20">
        <f>VLOOKUP(B80,Лист2!$B:$E,2,FALSE)</f>
        <v>10</v>
      </c>
      <c r="F80" s="20">
        <f>VLOOKUP(B80,Лист2!$B:$E,3,FALSE)</f>
        <v>580</v>
      </c>
      <c r="G80" s="20">
        <f>VLOOKUP(B80,Лист2!$B:$E,4,FALSE)</f>
        <v>506</v>
      </c>
      <c r="H80" s="21">
        <f t="shared" si="2"/>
        <v>95970.3</v>
      </c>
      <c r="I80" s="28">
        <f t="shared" si="3"/>
        <v>19</v>
      </c>
    </row>
    <row r="81" ht="14.25" customHeight="1" spans="1:9">
      <c r="A81" s="22">
        <v>43958</v>
      </c>
      <c r="B81" s="23" t="s">
        <v>12</v>
      </c>
      <c r="C81" s="23">
        <v>11029.5</v>
      </c>
      <c r="D81" s="23">
        <v>863754</v>
      </c>
      <c r="E81" s="24">
        <f>VLOOKUP(B81,Лист2!$B:$E,2,FALSE)</f>
        <v>10</v>
      </c>
      <c r="F81" s="24">
        <f>VLOOKUP(B81,Лист2!$B:$E,3,FALSE)</f>
        <v>580</v>
      </c>
      <c r="G81" s="24">
        <f>VLOOKUP(B81,Лист2!$B:$E,4,FALSE)</f>
        <v>506</v>
      </c>
      <c r="H81" s="25">
        <f t="shared" si="2"/>
        <v>86375.4</v>
      </c>
      <c r="I81" s="29">
        <f t="shared" si="3"/>
        <v>19</v>
      </c>
    </row>
    <row r="82" ht="14.25" customHeight="1" spans="1:9">
      <c r="A82" s="18">
        <v>43975</v>
      </c>
      <c r="B82" s="19" t="s">
        <v>12</v>
      </c>
      <c r="C82" s="19">
        <v>9994.5</v>
      </c>
      <c r="D82" s="19">
        <v>828984</v>
      </c>
      <c r="E82" s="20">
        <f>VLOOKUP(B82,Лист2!$B:$E,2,FALSE)</f>
        <v>10</v>
      </c>
      <c r="F82" s="20">
        <f>VLOOKUP(B82,Лист2!$B:$E,3,FALSE)</f>
        <v>580</v>
      </c>
      <c r="G82" s="20">
        <f>VLOOKUP(B82,Лист2!$B:$E,4,FALSE)</f>
        <v>506</v>
      </c>
      <c r="H82" s="21">
        <f t="shared" si="2"/>
        <v>82898.4</v>
      </c>
      <c r="I82" s="28">
        <f t="shared" si="3"/>
        <v>21</v>
      </c>
    </row>
    <row r="83" ht="14.25" customHeight="1" spans="1:9">
      <c r="A83" s="22">
        <v>43982</v>
      </c>
      <c r="B83" s="23" t="s">
        <v>12</v>
      </c>
      <c r="C83" s="23">
        <v>12724.5</v>
      </c>
      <c r="D83" s="23">
        <v>1045515</v>
      </c>
      <c r="E83" s="24">
        <f>VLOOKUP(B83,Лист2!$B:$E,2,FALSE)</f>
        <v>10</v>
      </c>
      <c r="F83" s="24">
        <f>VLOOKUP(B83,Лист2!$B:$E,3,FALSE)</f>
        <v>580</v>
      </c>
      <c r="G83" s="24">
        <f>VLOOKUP(B83,Лист2!$B:$E,4,FALSE)</f>
        <v>506</v>
      </c>
      <c r="H83" s="25">
        <f t="shared" si="2"/>
        <v>104551.5</v>
      </c>
      <c r="I83" s="29">
        <f t="shared" si="3"/>
        <v>22</v>
      </c>
    </row>
    <row r="84" ht="14.25" customHeight="1" spans="1:9">
      <c r="A84" s="18">
        <v>43981</v>
      </c>
      <c r="B84" s="19" t="s">
        <v>12</v>
      </c>
      <c r="C84" s="19">
        <v>14728.5</v>
      </c>
      <c r="D84" s="19">
        <v>1260483</v>
      </c>
      <c r="E84" s="20">
        <f>VLOOKUP(B84,Лист2!$B:$E,2,FALSE)</f>
        <v>10</v>
      </c>
      <c r="F84" s="20">
        <f>VLOOKUP(B84,Лист2!$B:$E,3,FALSE)</f>
        <v>580</v>
      </c>
      <c r="G84" s="20">
        <f>VLOOKUP(B84,Лист2!$B:$E,4,FALSE)</f>
        <v>506</v>
      </c>
      <c r="H84" s="21">
        <f t="shared" si="2"/>
        <v>126048.3</v>
      </c>
      <c r="I84" s="28">
        <f t="shared" si="3"/>
        <v>22</v>
      </c>
    </row>
    <row r="85" ht="14.25" customHeight="1" spans="1:9">
      <c r="A85" s="22">
        <v>43979</v>
      </c>
      <c r="B85" s="23" t="s">
        <v>12</v>
      </c>
      <c r="C85" s="23">
        <v>13038</v>
      </c>
      <c r="D85" s="23">
        <v>1114552.5</v>
      </c>
      <c r="E85" s="24">
        <f>VLOOKUP(B85,Лист2!$B:$E,2,FALSE)</f>
        <v>10</v>
      </c>
      <c r="F85" s="24">
        <f>VLOOKUP(B85,Лист2!$B:$E,3,FALSE)</f>
        <v>580</v>
      </c>
      <c r="G85" s="24">
        <f>VLOOKUP(B85,Лист2!$B:$E,4,FALSE)</f>
        <v>506</v>
      </c>
      <c r="H85" s="25">
        <f t="shared" si="2"/>
        <v>111455.25</v>
      </c>
      <c r="I85" s="29">
        <f t="shared" si="3"/>
        <v>22</v>
      </c>
    </row>
    <row r="86" ht="14.25" customHeight="1" spans="1:9">
      <c r="A86" s="18">
        <v>43967</v>
      </c>
      <c r="B86" s="19" t="s">
        <v>13</v>
      </c>
      <c r="C86" s="19">
        <v>35482.5</v>
      </c>
      <c r="D86" s="19">
        <v>3222517.5</v>
      </c>
      <c r="E86" s="20">
        <f>VLOOKUP(B86,Лист2!$B:$E,2,FALSE)</f>
        <v>17</v>
      </c>
      <c r="F86" s="20">
        <f>VLOOKUP(B86,Лист2!$B:$E,3,FALSE)</f>
        <v>1439</v>
      </c>
      <c r="G86" s="20">
        <f>VLOOKUP(B86,Лист2!$B:$E,4,FALSE)</f>
        <v>1265</v>
      </c>
      <c r="H86" s="21">
        <f t="shared" si="2"/>
        <v>189559.852941176</v>
      </c>
      <c r="I86" s="28">
        <f t="shared" si="3"/>
        <v>20</v>
      </c>
    </row>
    <row r="87" ht="14.25" customHeight="1" spans="1:9">
      <c r="A87" s="22">
        <v>43970</v>
      </c>
      <c r="B87" s="23" t="s">
        <v>13</v>
      </c>
      <c r="C87" s="23">
        <v>32434.5</v>
      </c>
      <c r="D87" s="23">
        <v>2865337.5</v>
      </c>
      <c r="E87" s="24">
        <f>VLOOKUP(B87,Лист2!$B:$E,2,FALSE)</f>
        <v>17</v>
      </c>
      <c r="F87" s="24">
        <f>VLOOKUP(B87,Лист2!$B:$E,3,FALSE)</f>
        <v>1439</v>
      </c>
      <c r="G87" s="24">
        <f>VLOOKUP(B87,Лист2!$B:$E,4,FALSE)</f>
        <v>1265</v>
      </c>
      <c r="H87" s="25">
        <f t="shared" si="2"/>
        <v>168549.264705882</v>
      </c>
      <c r="I87" s="29">
        <f t="shared" si="3"/>
        <v>21</v>
      </c>
    </row>
    <row r="88" ht="14.25" customHeight="1" spans="1:9">
      <c r="A88" s="18">
        <v>43968</v>
      </c>
      <c r="B88" s="19" t="s">
        <v>13</v>
      </c>
      <c r="C88" s="19">
        <v>30486</v>
      </c>
      <c r="D88" s="19">
        <v>2694289.5</v>
      </c>
      <c r="E88" s="20">
        <f>VLOOKUP(B88,Лист2!$B:$E,2,FALSE)</f>
        <v>17</v>
      </c>
      <c r="F88" s="20">
        <f>VLOOKUP(B88,Лист2!$B:$E,3,FALSE)</f>
        <v>1439</v>
      </c>
      <c r="G88" s="20">
        <f>VLOOKUP(B88,Лист2!$B:$E,4,FALSE)</f>
        <v>1265</v>
      </c>
      <c r="H88" s="21">
        <f t="shared" si="2"/>
        <v>158487.617647059</v>
      </c>
      <c r="I88" s="28">
        <f t="shared" si="3"/>
        <v>20</v>
      </c>
    </row>
    <row r="89" ht="14.25" customHeight="1" spans="1:9">
      <c r="A89" s="22">
        <v>43960</v>
      </c>
      <c r="B89" s="23" t="s">
        <v>13</v>
      </c>
      <c r="C89" s="23">
        <v>32079</v>
      </c>
      <c r="D89" s="23">
        <v>2902167</v>
      </c>
      <c r="E89" s="24">
        <f>VLOOKUP(B89,Лист2!$B:$E,2,FALSE)</f>
        <v>17</v>
      </c>
      <c r="F89" s="24">
        <f>VLOOKUP(B89,Лист2!$B:$E,3,FALSE)</f>
        <v>1439</v>
      </c>
      <c r="G89" s="24">
        <f>VLOOKUP(B89,Лист2!$B:$E,4,FALSE)</f>
        <v>1265</v>
      </c>
      <c r="H89" s="25">
        <f t="shared" si="2"/>
        <v>170715.705882353</v>
      </c>
      <c r="I89" s="29">
        <f t="shared" si="3"/>
        <v>19</v>
      </c>
    </row>
    <row r="90" ht="14.25" customHeight="1" spans="1:9">
      <c r="A90" s="18">
        <v>43955</v>
      </c>
      <c r="B90" s="19" t="s">
        <v>13</v>
      </c>
      <c r="C90" s="19">
        <v>27072</v>
      </c>
      <c r="D90" s="19">
        <v>2450968.5</v>
      </c>
      <c r="E90" s="20">
        <f>VLOOKUP(B90,Лист2!$B:$E,2,FALSE)</f>
        <v>17</v>
      </c>
      <c r="F90" s="20">
        <f>VLOOKUP(B90,Лист2!$B:$E,3,FALSE)</f>
        <v>1439</v>
      </c>
      <c r="G90" s="20">
        <f>VLOOKUP(B90,Лист2!$B:$E,4,FALSE)</f>
        <v>1265</v>
      </c>
      <c r="H90" s="21">
        <f t="shared" si="2"/>
        <v>144174.617647059</v>
      </c>
      <c r="I90" s="28">
        <f t="shared" si="3"/>
        <v>19</v>
      </c>
    </row>
    <row r="91" ht="14.25" customHeight="1" spans="1:9">
      <c r="A91" s="22">
        <v>43950</v>
      </c>
      <c r="B91" s="23" t="s">
        <v>13</v>
      </c>
      <c r="C91" s="23">
        <v>25917</v>
      </c>
      <c r="D91" s="23">
        <v>2397588</v>
      </c>
      <c r="E91" s="24">
        <f>VLOOKUP(B91,Лист2!$B:$E,2,FALSE)</f>
        <v>17</v>
      </c>
      <c r="F91" s="24">
        <f>VLOOKUP(B91,Лист2!$B:$E,3,FALSE)</f>
        <v>1439</v>
      </c>
      <c r="G91" s="24">
        <f>VLOOKUP(B91,Лист2!$B:$E,4,FALSE)</f>
        <v>1265</v>
      </c>
      <c r="H91" s="25">
        <f t="shared" si="2"/>
        <v>141034.588235294</v>
      </c>
      <c r="I91" s="29">
        <f t="shared" si="3"/>
        <v>18</v>
      </c>
    </row>
    <row r="92" ht="14.25" customHeight="1" spans="1:9">
      <c r="A92" s="18">
        <v>43953</v>
      </c>
      <c r="B92" s="19" t="s">
        <v>13</v>
      </c>
      <c r="C92" s="19">
        <v>19461</v>
      </c>
      <c r="D92" s="19">
        <v>1799230.5</v>
      </c>
      <c r="E92" s="20">
        <f>VLOOKUP(B92,Лист2!$B:$E,2,FALSE)</f>
        <v>17</v>
      </c>
      <c r="F92" s="20">
        <f>VLOOKUP(B92,Лист2!$B:$E,3,FALSE)</f>
        <v>1439</v>
      </c>
      <c r="G92" s="20">
        <f>VLOOKUP(B92,Лист2!$B:$E,4,FALSE)</f>
        <v>1265</v>
      </c>
      <c r="H92" s="21">
        <f t="shared" si="2"/>
        <v>105837.088235294</v>
      </c>
      <c r="I92" s="28">
        <f t="shared" si="3"/>
        <v>18</v>
      </c>
    </row>
    <row r="93" ht="14.25" customHeight="1" spans="1:9">
      <c r="A93" s="22">
        <v>43977</v>
      </c>
      <c r="B93" s="23" t="s">
        <v>13</v>
      </c>
      <c r="C93" s="23">
        <v>31407</v>
      </c>
      <c r="D93" s="23">
        <v>2907411</v>
      </c>
      <c r="E93" s="24">
        <f>VLOOKUP(B93,Лист2!$B:$E,2,FALSE)</f>
        <v>17</v>
      </c>
      <c r="F93" s="24">
        <f>VLOOKUP(B93,Лист2!$B:$E,3,FALSE)</f>
        <v>1439</v>
      </c>
      <c r="G93" s="24">
        <f>VLOOKUP(B93,Лист2!$B:$E,4,FALSE)</f>
        <v>1265</v>
      </c>
      <c r="H93" s="25">
        <f t="shared" si="2"/>
        <v>171024.176470588</v>
      </c>
      <c r="I93" s="29">
        <f t="shared" si="3"/>
        <v>22</v>
      </c>
    </row>
    <row r="94" ht="14.25" customHeight="1" spans="1:9">
      <c r="A94" s="18">
        <v>43952</v>
      </c>
      <c r="B94" s="19" t="s">
        <v>13</v>
      </c>
      <c r="C94" s="19">
        <v>25792.5</v>
      </c>
      <c r="D94" s="19">
        <v>2374356</v>
      </c>
      <c r="E94" s="20">
        <f>VLOOKUP(B94,Лист2!$B:$E,2,FALSE)</f>
        <v>17</v>
      </c>
      <c r="F94" s="20">
        <f>VLOOKUP(B94,Лист2!$B:$E,3,FALSE)</f>
        <v>1439</v>
      </c>
      <c r="G94" s="20">
        <f>VLOOKUP(B94,Лист2!$B:$E,4,FALSE)</f>
        <v>1265</v>
      </c>
      <c r="H94" s="21">
        <f t="shared" si="2"/>
        <v>139668</v>
      </c>
      <c r="I94" s="28">
        <f t="shared" si="3"/>
        <v>18</v>
      </c>
    </row>
    <row r="95" ht="14.25" customHeight="1" spans="1:9">
      <c r="A95" s="22">
        <v>43963</v>
      </c>
      <c r="B95" s="23" t="s">
        <v>13</v>
      </c>
      <c r="C95" s="23">
        <v>26032.5</v>
      </c>
      <c r="D95" s="23">
        <v>2370432</v>
      </c>
      <c r="E95" s="24">
        <f>VLOOKUP(B95,Лист2!$B:$E,2,FALSE)</f>
        <v>17</v>
      </c>
      <c r="F95" s="24">
        <f>VLOOKUP(B95,Лист2!$B:$E,3,FALSE)</f>
        <v>1439</v>
      </c>
      <c r="G95" s="24">
        <f>VLOOKUP(B95,Лист2!$B:$E,4,FALSE)</f>
        <v>1265</v>
      </c>
      <c r="H95" s="25">
        <f t="shared" si="2"/>
        <v>139437.176470588</v>
      </c>
      <c r="I95" s="29">
        <f t="shared" si="3"/>
        <v>20</v>
      </c>
    </row>
    <row r="96" ht="14.25" customHeight="1" spans="1:9">
      <c r="A96" s="18">
        <v>43972</v>
      </c>
      <c r="B96" s="19" t="s">
        <v>13</v>
      </c>
      <c r="C96" s="19">
        <v>31707</v>
      </c>
      <c r="D96" s="19">
        <v>2853181.5</v>
      </c>
      <c r="E96" s="20">
        <f>VLOOKUP(B96,Лист2!$B:$E,2,FALSE)</f>
        <v>17</v>
      </c>
      <c r="F96" s="20">
        <f>VLOOKUP(B96,Лист2!$B:$E,3,FALSE)</f>
        <v>1439</v>
      </c>
      <c r="G96" s="20">
        <f>VLOOKUP(B96,Лист2!$B:$E,4,FALSE)</f>
        <v>1265</v>
      </c>
      <c r="H96" s="21">
        <f t="shared" si="2"/>
        <v>167834.205882353</v>
      </c>
      <c r="I96" s="28">
        <f t="shared" si="3"/>
        <v>21</v>
      </c>
    </row>
    <row r="97" ht="14.25" customHeight="1" spans="1:9">
      <c r="A97" s="22">
        <v>43971</v>
      </c>
      <c r="B97" s="23" t="s">
        <v>13</v>
      </c>
      <c r="C97" s="23">
        <v>29955</v>
      </c>
      <c r="D97" s="23">
        <v>2692230</v>
      </c>
      <c r="E97" s="24">
        <f>VLOOKUP(B97,Лист2!$B:$E,2,FALSE)</f>
        <v>17</v>
      </c>
      <c r="F97" s="24">
        <f>VLOOKUP(B97,Лист2!$B:$E,3,FALSE)</f>
        <v>1439</v>
      </c>
      <c r="G97" s="24">
        <f>VLOOKUP(B97,Лист2!$B:$E,4,FALSE)</f>
        <v>1265</v>
      </c>
      <c r="H97" s="25">
        <f t="shared" si="2"/>
        <v>158366.470588235</v>
      </c>
      <c r="I97" s="29">
        <f t="shared" si="3"/>
        <v>21</v>
      </c>
    </row>
    <row r="98" ht="14.25" customHeight="1" spans="1:9">
      <c r="A98" s="18">
        <v>43956</v>
      </c>
      <c r="B98" s="19" t="s">
        <v>13</v>
      </c>
      <c r="C98" s="19">
        <v>22848</v>
      </c>
      <c r="D98" s="19">
        <v>2079900</v>
      </c>
      <c r="E98" s="20">
        <f>VLOOKUP(B98,Лист2!$B:$E,2,FALSE)</f>
        <v>17</v>
      </c>
      <c r="F98" s="20">
        <f>VLOOKUP(B98,Лист2!$B:$E,3,FALSE)</f>
        <v>1439</v>
      </c>
      <c r="G98" s="20">
        <f>VLOOKUP(B98,Лист2!$B:$E,4,FALSE)</f>
        <v>1265</v>
      </c>
      <c r="H98" s="21">
        <f t="shared" si="2"/>
        <v>122347.058823529</v>
      </c>
      <c r="I98" s="28">
        <f t="shared" si="3"/>
        <v>19</v>
      </c>
    </row>
    <row r="99" ht="14.25" customHeight="1" spans="1:9">
      <c r="A99" s="22">
        <v>43949</v>
      </c>
      <c r="B99" s="23" t="s">
        <v>13</v>
      </c>
      <c r="C99" s="23">
        <v>23314.5</v>
      </c>
      <c r="D99" s="23">
        <v>2136817.5</v>
      </c>
      <c r="E99" s="24">
        <f>VLOOKUP(B99,Лист2!$B:$E,2,FALSE)</f>
        <v>17</v>
      </c>
      <c r="F99" s="24">
        <f>VLOOKUP(B99,Лист2!$B:$E,3,FALSE)</f>
        <v>1439</v>
      </c>
      <c r="G99" s="24">
        <f>VLOOKUP(B99,Лист2!$B:$E,4,FALSE)</f>
        <v>1265</v>
      </c>
      <c r="H99" s="25">
        <f t="shared" si="2"/>
        <v>125695.147058824</v>
      </c>
      <c r="I99" s="29">
        <f t="shared" si="3"/>
        <v>18</v>
      </c>
    </row>
    <row r="100" ht="14.25" customHeight="1" spans="1:9">
      <c r="A100" s="18">
        <v>43964</v>
      </c>
      <c r="B100" s="19" t="s">
        <v>13</v>
      </c>
      <c r="C100" s="19">
        <v>26464.5</v>
      </c>
      <c r="D100" s="19">
        <v>2373337.5</v>
      </c>
      <c r="E100" s="20">
        <f>VLOOKUP(B100,Лист2!$B:$E,2,FALSE)</f>
        <v>17</v>
      </c>
      <c r="F100" s="20">
        <f>VLOOKUP(B100,Лист2!$B:$E,3,FALSE)</f>
        <v>1439</v>
      </c>
      <c r="G100" s="20">
        <f>VLOOKUP(B100,Лист2!$B:$E,4,FALSE)</f>
        <v>1265</v>
      </c>
      <c r="H100" s="21">
        <f t="shared" si="2"/>
        <v>139608.088235294</v>
      </c>
      <c r="I100" s="28">
        <f t="shared" si="3"/>
        <v>20</v>
      </c>
    </row>
    <row r="101" ht="14.25" customHeight="1" spans="1:9">
      <c r="A101" s="22">
        <v>43954</v>
      </c>
      <c r="B101" s="23" t="s">
        <v>13</v>
      </c>
      <c r="C101" s="23">
        <v>23539.5</v>
      </c>
      <c r="D101" s="23">
        <v>2170309.5</v>
      </c>
      <c r="E101" s="24">
        <f>VLOOKUP(B101,Лист2!$B:$E,2,FALSE)</f>
        <v>17</v>
      </c>
      <c r="F101" s="24">
        <f>VLOOKUP(B101,Лист2!$B:$E,3,FALSE)</f>
        <v>1439</v>
      </c>
      <c r="G101" s="24">
        <f>VLOOKUP(B101,Лист2!$B:$E,4,FALSE)</f>
        <v>1265</v>
      </c>
      <c r="H101" s="25">
        <f t="shared" si="2"/>
        <v>127665.264705882</v>
      </c>
      <c r="I101" s="29">
        <f t="shared" si="3"/>
        <v>18</v>
      </c>
    </row>
    <row r="102" ht="14.25" customHeight="1" spans="1:9">
      <c r="A102" s="18">
        <v>43957</v>
      </c>
      <c r="B102" s="19" t="s">
        <v>13</v>
      </c>
      <c r="C102" s="19">
        <v>24678</v>
      </c>
      <c r="D102" s="19">
        <v>2232519</v>
      </c>
      <c r="E102" s="20">
        <f>VLOOKUP(B102,Лист2!$B:$E,2,FALSE)</f>
        <v>17</v>
      </c>
      <c r="F102" s="20">
        <f>VLOOKUP(B102,Лист2!$B:$E,3,FALSE)</f>
        <v>1439</v>
      </c>
      <c r="G102" s="20">
        <f>VLOOKUP(B102,Лист2!$B:$E,4,FALSE)</f>
        <v>1265</v>
      </c>
      <c r="H102" s="21">
        <f t="shared" si="2"/>
        <v>131324.647058824</v>
      </c>
      <c r="I102" s="28">
        <f t="shared" si="3"/>
        <v>19</v>
      </c>
    </row>
    <row r="103" ht="14.25" customHeight="1" spans="1:9">
      <c r="A103" s="22">
        <v>43974</v>
      </c>
      <c r="B103" s="23" t="s">
        <v>13</v>
      </c>
      <c r="C103" s="23">
        <v>38176.5</v>
      </c>
      <c r="D103" s="23">
        <v>3385372.5</v>
      </c>
      <c r="E103" s="24">
        <f>VLOOKUP(B103,Лист2!$B:$E,2,FALSE)</f>
        <v>17</v>
      </c>
      <c r="F103" s="24">
        <f>VLOOKUP(B103,Лист2!$B:$E,3,FALSE)</f>
        <v>1439</v>
      </c>
      <c r="G103" s="24">
        <f>VLOOKUP(B103,Лист2!$B:$E,4,FALSE)</f>
        <v>1265</v>
      </c>
      <c r="H103" s="25">
        <f t="shared" si="2"/>
        <v>199139.558823529</v>
      </c>
      <c r="I103" s="29">
        <f t="shared" si="3"/>
        <v>21</v>
      </c>
    </row>
    <row r="104" ht="14.25" customHeight="1" spans="1:9">
      <c r="A104" s="18">
        <v>43976</v>
      </c>
      <c r="B104" s="19" t="s">
        <v>13</v>
      </c>
      <c r="C104" s="19">
        <v>30603</v>
      </c>
      <c r="D104" s="19">
        <v>2865727.5</v>
      </c>
      <c r="E104" s="20">
        <f>VLOOKUP(B104,Лист2!$B:$E,2,FALSE)</f>
        <v>17</v>
      </c>
      <c r="F104" s="20">
        <f>VLOOKUP(B104,Лист2!$B:$E,3,FALSE)</f>
        <v>1439</v>
      </c>
      <c r="G104" s="20">
        <f>VLOOKUP(B104,Лист2!$B:$E,4,FALSE)</f>
        <v>1265</v>
      </c>
      <c r="H104" s="21">
        <f t="shared" si="2"/>
        <v>168572.205882353</v>
      </c>
      <c r="I104" s="28">
        <f t="shared" si="3"/>
        <v>22</v>
      </c>
    </row>
    <row r="105" ht="14.25" customHeight="1" spans="1:9">
      <c r="A105" s="22">
        <v>43951</v>
      </c>
      <c r="B105" s="23" t="s">
        <v>13</v>
      </c>
      <c r="C105" s="23">
        <v>24211.5</v>
      </c>
      <c r="D105" s="23">
        <v>2267664</v>
      </c>
      <c r="E105" s="24">
        <f>VLOOKUP(B105,Лист2!$B:$E,2,FALSE)</f>
        <v>17</v>
      </c>
      <c r="F105" s="24">
        <f>VLOOKUP(B105,Лист2!$B:$E,3,FALSE)</f>
        <v>1439</v>
      </c>
      <c r="G105" s="24">
        <f>VLOOKUP(B105,Лист2!$B:$E,4,FALSE)</f>
        <v>1265</v>
      </c>
      <c r="H105" s="25">
        <f t="shared" si="2"/>
        <v>133392</v>
      </c>
      <c r="I105" s="29">
        <f t="shared" si="3"/>
        <v>18</v>
      </c>
    </row>
    <row r="106" ht="14.25" customHeight="1" spans="1:9">
      <c r="A106" s="18">
        <v>43961</v>
      </c>
      <c r="B106" s="19" t="s">
        <v>13</v>
      </c>
      <c r="C106" s="19">
        <v>31399.5</v>
      </c>
      <c r="D106" s="19">
        <v>2862298.5</v>
      </c>
      <c r="E106" s="20">
        <f>VLOOKUP(B106,Лист2!$B:$E,2,FALSE)</f>
        <v>17</v>
      </c>
      <c r="F106" s="20">
        <f>VLOOKUP(B106,Лист2!$B:$E,3,FALSE)</f>
        <v>1439</v>
      </c>
      <c r="G106" s="20">
        <f>VLOOKUP(B106,Лист2!$B:$E,4,FALSE)</f>
        <v>1265</v>
      </c>
      <c r="H106" s="21">
        <f t="shared" si="2"/>
        <v>168370.5</v>
      </c>
      <c r="I106" s="28">
        <f t="shared" si="3"/>
        <v>19</v>
      </c>
    </row>
    <row r="107" ht="14.25" customHeight="1" spans="1:9">
      <c r="A107" s="22">
        <v>43959</v>
      </c>
      <c r="B107" s="23" t="s">
        <v>13</v>
      </c>
      <c r="C107" s="23">
        <v>25294.5</v>
      </c>
      <c r="D107" s="23">
        <v>2271454.5</v>
      </c>
      <c r="E107" s="24">
        <f>VLOOKUP(B107,Лист2!$B:$E,2,FALSE)</f>
        <v>17</v>
      </c>
      <c r="F107" s="24">
        <f>VLOOKUP(B107,Лист2!$B:$E,3,FALSE)</f>
        <v>1439</v>
      </c>
      <c r="G107" s="24">
        <f>VLOOKUP(B107,Лист2!$B:$E,4,FALSE)</f>
        <v>1265</v>
      </c>
      <c r="H107" s="25">
        <f t="shared" si="2"/>
        <v>133614.970588235</v>
      </c>
      <c r="I107" s="29">
        <f t="shared" si="3"/>
        <v>19</v>
      </c>
    </row>
    <row r="108" ht="14.25" customHeight="1" spans="1:9">
      <c r="A108" s="18">
        <v>43958</v>
      </c>
      <c r="B108" s="19" t="s">
        <v>13</v>
      </c>
      <c r="C108" s="19">
        <v>25468.5</v>
      </c>
      <c r="D108" s="19">
        <v>2350672.5</v>
      </c>
      <c r="E108" s="20">
        <f>VLOOKUP(B108,Лист2!$B:$E,2,FALSE)</f>
        <v>17</v>
      </c>
      <c r="F108" s="20">
        <f>VLOOKUP(B108,Лист2!$B:$E,3,FALSE)</f>
        <v>1439</v>
      </c>
      <c r="G108" s="20">
        <f>VLOOKUP(B108,Лист2!$B:$E,4,FALSE)</f>
        <v>1265</v>
      </c>
      <c r="H108" s="21">
        <f t="shared" si="2"/>
        <v>138274.852941176</v>
      </c>
      <c r="I108" s="28">
        <f t="shared" si="3"/>
        <v>19</v>
      </c>
    </row>
    <row r="109" ht="14.25" customHeight="1" spans="1:9">
      <c r="A109" s="22">
        <v>43975</v>
      </c>
      <c r="B109" s="23" t="s">
        <v>13</v>
      </c>
      <c r="C109" s="23">
        <v>31854</v>
      </c>
      <c r="D109" s="23">
        <v>2915533.5</v>
      </c>
      <c r="E109" s="24">
        <f>VLOOKUP(B109,Лист2!$B:$E,2,FALSE)</f>
        <v>17</v>
      </c>
      <c r="F109" s="24">
        <f>VLOOKUP(B109,Лист2!$B:$E,3,FALSE)</f>
        <v>1439</v>
      </c>
      <c r="G109" s="24">
        <f>VLOOKUP(B109,Лист2!$B:$E,4,FALSE)</f>
        <v>1265</v>
      </c>
      <c r="H109" s="25">
        <f t="shared" si="2"/>
        <v>171501.970588235</v>
      </c>
      <c r="I109" s="29">
        <f t="shared" si="3"/>
        <v>21</v>
      </c>
    </row>
    <row r="110" ht="14.25" customHeight="1" spans="1:9">
      <c r="A110" s="18">
        <v>43982</v>
      </c>
      <c r="B110" s="19" t="s">
        <v>13</v>
      </c>
      <c r="C110" s="19">
        <v>32359.5</v>
      </c>
      <c r="D110" s="19">
        <v>2991999</v>
      </c>
      <c r="E110" s="20">
        <f>VLOOKUP(B110,Лист2!$B:$E,2,FALSE)</f>
        <v>17</v>
      </c>
      <c r="F110" s="20">
        <f>VLOOKUP(B110,Лист2!$B:$E,3,FALSE)</f>
        <v>1439</v>
      </c>
      <c r="G110" s="20">
        <f>VLOOKUP(B110,Лист2!$B:$E,4,FALSE)</f>
        <v>1265</v>
      </c>
      <c r="H110" s="21">
        <f t="shared" si="2"/>
        <v>175999.941176471</v>
      </c>
      <c r="I110" s="28">
        <f t="shared" si="3"/>
        <v>22</v>
      </c>
    </row>
    <row r="111" ht="14.25" customHeight="1" spans="1:9">
      <c r="A111" s="22">
        <v>43981</v>
      </c>
      <c r="B111" s="23" t="s">
        <v>13</v>
      </c>
      <c r="C111" s="23">
        <v>39867</v>
      </c>
      <c r="D111" s="23">
        <v>3654166.5</v>
      </c>
      <c r="E111" s="24">
        <f>VLOOKUP(B111,Лист2!$B:$E,2,FALSE)</f>
        <v>17</v>
      </c>
      <c r="F111" s="24">
        <f>VLOOKUP(B111,Лист2!$B:$E,3,FALSE)</f>
        <v>1439</v>
      </c>
      <c r="G111" s="24">
        <f>VLOOKUP(B111,Лист2!$B:$E,4,FALSE)</f>
        <v>1265</v>
      </c>
      <c r="H111" s="25">
        <f t="shared" si="2"/>
        <v>214950.970588235</v>
      </c>
      <c r="I111" s="29">
        <f t="shared" si="3"/>
        <v>22</v>
      </c>
    </row>
    <row r="112" ht="14.25" customHeight="1" spans="1:9">
      <c r="A112" s="18">
        <v>43979</v>
      </c>
      <c r="B112" s="19" t="s">
        <v>13</v>
      </c>
      <c r="C112" s="19">
        <v>31974</v>
      </c>
      <c r="D112" s="19">
        <v>3004213.5</v>
      </c>
      <c r="E112" s="20">
        <f>VLOOKUP(B112,Лист2!$B:$E,2,FALSE)</f>
        <v>17</v>
      </c>
      <c r="F112" s="20">
        <f>VLOOKUP(B112,Лист2!$B:$E,3,FALSE)</f>
        <v>1439</v>
      </c>
      <c r="G112" s="20">
        <f>VLOOKUP(B112,Лист2!$B:$E,4,FALSE)</f>
        <v>1265</v>
      </c>
      <c r="H112" s="21">
        <f t="shared" si="2"/>
        <v>176718.441176471</v>
      </c>
      <c r="I112" s="28">
        <f t="shared" si="3"/>
        <v>22</v>
      </c>
    </row>
    <row r="113" ht="14.25" customHeight="1" spans="1:9">
      <c r="A113" s="22">
        <v>43967</v>
      </c>
      <c r="B113" s="23" t="s">
        <v>14</v>
      </c>
      <c r="C113" s="23">
        <v>321412.5</v>
      </c>
      <c r="D113" s="23">
        <v>32235864</v>
      </c>
      <c r="E113" s="24">
        <f>VLOOKUP(B113,Лист2!$B:$E,2,FALSE)</f>
        <v>128</v>
      </c>
      <c r="F113" s="24">
        <f>VLOOKUP(B113,Лист2!$B:$E,3,FALSE)</f>
        <v>16450</v>
      </c>
      <c r="G113" s="24">
        <f>VLOOKUP(B113,Лист2!$B:$E,4,FALSE)</f>
        <v>15320</v>
      </c>
      <c r="H113" s="25">
        <f t="shared" si="2"/>
        <v>251842.6875</v>
      </c>
      <c r="I113" s="29">
        <f t="shared" si="3"/>
        <v>20</v>
      </c>
    </row>
    <row r="114" ht="14.25" customHeight="1" spans="1:9">
      <c r="A114" s="18">
        <v>43970</v>
      </c>
      <c r="B114" s="19" t="s">
        <v>14</v>
      </c>
      <c r="C114" s="19">
        <v>276568.5</v>
      </c>
      <c r="D114" s="19">
        <v>27093624</v>
      </c>
      <c r="E114" s="20">
        <f>VLOOKUP(B114,Лист2!$B:$E,2,FALSE)</f>
        <v>128</v>
      </c>
      <c r="F114" s="20">
        <f>VLOOKUP(B114,Лист2!$B:$E,3,FALSE)</f>
        <v>16450</v>
      </c>
      <c r="G114" s="20">
        <f>VLOOKUP(B114,Лист2!$B:$E,4,FALSE)</f>
        <v>15320</v>
      </c>
      <c r="H114" s="21">
        <f t="shared" si="2"/>
        <v>211668.9375</v>
      </c>
      <c r="I114" s="28">
        <f t="shared" si="3"/>
        <v>21</v>
      </c>
    </row>
    <row r="115" ht="14.25" customHeight="1" spans="1:9">
      <c r="A115" s="22">
        <v>43968</v>
      </c>
      <c r="B115" s="23" t="s">
        <v>14</v>
      </c>
      <c r="C115" s="23">
        <v>269029.5</v>
      </c>
      <c r="D115" s="23">
        <v>26659930.5</v>
      </c>
      <c r="E115" s="24">
        <f>VLOOKUP(B115,Лист2!$B:$E,2,FALSE)</f>
        <v>128</v>
      </c>
      <c r="F115" s="24">
        <f>VLOOKUP(B115,Лист2!$B:$E,3,FALSE)</f>
        <v>16450</v>
      </c>
      <c r="G115" s="24">
        <f>VLOOKUP(B115,Лист2!$B:$E,4,FALSE)</f>
        <v>15320</v>
      </c>
      <c r="H115" s="25">
        <f t="shared" si="2"/>
        <v>208280.70703125</v>
      </c>
      <c r="I115" s="29">
        <f t="shared" si="3"/>
        <v>20</v>
      </c>
    </row>
    <row r="116" ht="14.25" customHeight="1" spans="1:9">
      <c r="A116" s="18">
        <v>43960</v>
      </c>
      <c r="B116" s="19" t="s">
        <v>14</v>
      </c>
      <c r="C116" s="19">
        <v>285972</v>
      </c>
      <c r="D116" s="19">
        <v>29768199</v>
      </c>
      <c r="E116" s="20">
        <f>VLOOKUP(B116,Лист2!$B:$E,2,FALSE)</f>
        <v>128</v>
      </c>
      <c r="F116" s="20">
        <f>VLOOKUP(B116,Лист2!$B:$E,3,FALSE)</f>
        <v>16450</v>
      </c>
      <c r="G116" s="20">
        <f>VLOOKUP(B116,Лист2!$B:$E,4,FALSE)</f>
        <v>15320</v>
      </c>
      <c r="H116" s="21">
        <f t="shared" si="2"/>
        <v>232564.0546875</v>
      </c>
      <c r="I116" s="28">
        <f t="shared" si="3"/>
        <v>19</v>
      </c>
    </row>
    <row r="117" ht="14.25" customHeight="1" spans="1:9">
      <c r="A117" s="22">
        <v>43955</v>
      </c>
      <c r="B117" s="23" t="s">
        <v>14</v>
      </c>
      <c r="C117" s="23">
        <v>283942.5</v>
      </c>
      <c r="D117" s="23">
        <v>29357940</v>
      </c>
      <c r="E117" s="24">
        <f>VLOOKUP(B117,Лист2!$B:$E,2,FALSE)</f>
        <v>128</v>
      </c>
      <c r="F117" s="24">
        <f>VLOOKUP(B117,Лист2!$B:$E,3,FALSE)</f>
        <v>16450</v>
      </c>
      <c r="G117" s="24">
        <f>VLOOKUP(B117,Лист2!$B:$E,4,FALSE)</f>
        <v>15320</v>
      </c>
      <c r="H117" s="25">
        <f t="shared" si="2"/>
        <v>229358.90625</v>
      </c>
      <c r="I117" s="29">
        <f t="shared" si="3"/>
        <v>19</v>
      </c>
    </row>
    <row r="118" ht="14.25" customHeight="1" spans="1:9">
      <c r="A118" s="18">
        <v>43950</v>
      </c>
      <c r="B118" s="19" t="s">
        <v>14</v>
      </c>
      <c r="C118" s="19">
        <v>298059</v>
      </c>
      <c r="D118" s="19">
        <v>30869287.5</v>
      </c>
      <c r="E118" s="20">
        <f>VLOOKUP(B118,Лист2!$B:$E,2,FALSE)</f>
        <v>128</v>
      </c>
      <c r="F118" s="20">
        <f>VLOOKUP(B118,Лист2!$B:$E,3,FALSE)</f>
        <v>16450</v>
      </c>
      <c r="G118" s="20">
        <f>VLOOKUP(B118,Лист2!$B:$E,4,FALSE)</f>
        <v>15320</v>
      </c>
      <c r="H118" s="21">
        <f t="shared" si="2"/>
        <v>241166.30859375</v>
      </c>
      <c r="I118" s="28">
        <f t="shared" si="3"/>
        <v>18</v>
      </c>
    </row>
    <row r="119" ht="14.25" customHeight="1" spans="1:9">
      <c r="A119" s="22">
        <v>43953</v>
      </c>
      <c r="B119" s="23" t="s">
        <v>14</v>
      </c>
      <c r="C119" s="23">
        <v>232903.5</v>
      </c>
      <c r="D119" s="23">
        <v>24342016.5</v>
      </c>
      <c r="E119" s="24">
        <f>VLOOKUP(B119,Лист2!$B:$E,2,FALSE)</f>
        <v>128</v>
      </c>
      <c r="F119" s="24">
        <f>VLOOKUP(B119,Лист2!$B:$E,3,FALSE)</f>
        <v>16450</v>
      </c>
      <c r="G119" s="24">
        <f>VLOOKUP(B119,Лист2!$B:$E,4,FALSE)</f>
        <v>15320</v>
      </c>
      <c r="H119" s="25">
        <f t="shared" si="2"/>
        <v>190172.00390625</v>
      </c>
      <c r="I119" s="29">
        <f t="shared" si="3"/>
        <v>18</v>
      </c>
    </row>
    <row r="120" ht="14.25" customHeight="1" spans="1:9">
      <c r="A120" s="18">
        <v>43977</v>
      </c>
      <c r="B120" s="19" t="s">
        <v>14</v>
      </c>
      <c r="C120" s="19">
        <v>276966</v>
      </c>
      <c r="D120" s="19">
        <v>27872617.89885</v>
      </c>
      <c r="E120" s="20">
        <f>VLOOKUP(B120,Лист2!$B:$E,2,FALSE)</f>
        <v>128</v>
      </c>
      <c r="F120" s="20">
        <f>VLOOKUP(B120,Лист2!$B:$E,3,FALSE)</f>
        <v>16450</v>
      </c>
      <c r="G120" s="20">
        <f>VLOOKUP(B120,Лист2!$B:$E,4,FALSE)</f>
        <v>15320</v>
      </c>
      <c r="H120" s="21">
        <f t="shared" si="2"/>
        <v>217754.827334766</v>
      </c>
      <c r="I120" s="28">
        <f t="shared" si="3"/>
        <v>22</v>
      </c>
    </row>
    <row r="121" ht="14.25" customHeight="1" spans="1:9">
      <c r="A121" s="22">
        <v>43952</v>
      </c>
      <c r="B121" s="23" t="s">
        <v>14</v>
      </c>
      <c r="C121" s="23">
        <v>296149.5</v>
      </c>
      <c r="D121" s="23">
        <v>31053316.5</v>
      </c>
      <c r="E121" s="24">
        <f>VLOOKUP(B121,Лист2!$B:$E,2,FALSE)</f>
        <v>128</v>
      </c>
      <c r="F121" s="24">
        <f>VLOOKUP(B121,Лист2!$B:$E,3,FALSE)</f>
        <v>16450</v>
      </c>
      <c r="G121" s="24">
        <f>VLOOKUP(B121,Лист2!$B:$E,4,FALSE)</f>
        <v>15320</v>
      </c>
      <c r="H121" s="25">
        <f t="shared" si="2"/>
        <v>242604.03515625</v>
      </c>
      <c r="I121" s="29">
        <f t="shared" si="3"/>
        <v>18</v>
      </c>
    </row>
    <row r="122" ht="14.25" customHeight="1" spans="1:9">
      <c r="A122" s="18">
        <v>43963</v>
      </c>
      <c r="B122" s="19" t="s">
        <v>14</v>
      </c>
      <c r="C122" s="19">
        <v>281796</v>
      </c>
      <c r="D122" s="19">
        <v>29042520</v>
      </c>
      <c r="E122" s="20">
        <f>VLOOKUP(B122,Лист2!$B:$E,2,FALSE)</f>
        <v>128</v>
      </c>
      <c r="F122" s="20">
        <f>VLOOKUP(B122,Лист2!$B:$E,3,FALSE)</f>
        <v>16450</v>
      </c>
      <c r="G122" s="20">
        <f>VLOOKUP(B122,Лист2!$B:$E,4,FALSE)</f>
        <v>15320</v>
      </c>
      <c r="H122" s="21">
        <f t="shared" si="2"/>
        <v>226894.6875</v>
      </c>
      <c r="I122" s="28">
        <f t="shared" si="3"/>
        <v>20</v>
      </c>
    </row>
    <row r="123" ht="14.25" customHeight="1" spans="1:9">
      <c r="A123" s="22">
        <v>43972</v>
      </c>
      <c r="B123" s="23" t="s">
        <v>14</v>
      </c>
      <c r="C123" s="23">
        <v>288936</v>
      </c>
      <c r="D123" s="23">
        <v>27852900</v>
      </c>
      <c r="E123" s="24">
        <f>VLOOKUP(B123,Лист2!$B:$E,2,FALSE)</f>
        <v>128</v>
      </c>
      <c r="F123" s="24">
        <f>VLOOKUP(B123,Лист2!$B:$E,3,FALSE)</f>
        <v>16450</v>
      </c>
      <c r="G123" s="24">
        <f>VLOOKUP(B123,Лист2!$B:$E,4,FALSE)</f>
        <v>15320</v>
      </c>
      <c r="H123" s="25">
        <f t="shared" si="2"/>
        <v>217600.78125</v>
      </c>
      <c r="I123" s="29">
        <f t="shared" si="3"/>
        <v>21</v>
      </c>
    </row>
    <row r="124" ht="14.25" customHeight="1" spans="1:9">
      <c r="A124" s="18">
        <v>43971</v>
      </c>
      <c r="B124" s="19" t="s">
        <v>14</v>
      </c>
      <c r="C124" s="19">
        <v>300151.5</v>
      </c>
      <c r="D124" s="19">
        <v>29368771.61745</v>
      </c>
      <c r="E124" s="20">
        <f>VLOOKUP(B124,Лист2!$B:$E,2,FALSE)</f>
        <v>128</v>
      </c>
      <c r="F124" s="20">
        <f>VLOOKUP(B124,Лист2!$B:$E,3,FALSE)</f>
        <v>16450</v>
      </c>
      <c r="G124" s="20">
        <f>VLOOKUP(B124,Лист2!$B:$E,4,FALSE)</f>
        <v>15320</v>
      </c>
      <c r="H124" s="21">
        <f t="shared" si="2"/>
        <v>229443.528261328</v>
      </c>
      <c r="I124" s="28">
        <f t="shared" si="3"/>
        <v>21</v>
      </c>
    </row>
    <row r="125" ht="14.25" customHeight="1" spans="1:9">
      <c r="A125" s="22">
        <v>43956</v>
      </c>
      <c r="B125" s="23" t="s">
        <v>14</v>
      </c>
      <c r="C125" s="23">
        <v>262734</v>
      </c>
      <c r="D125" s="23">
        <v>27278441.145</v>
      </c>
      <c r="E125" s="24">
        <f>VLOOKUP(B125,Лист2!$B:$E,2,FALSE)</f>
        <v>128</v>
      </c>
      <c r="F125" s="24">
        <f>VLOOKUP(B125,Лист2!$B:$E,3,FALSE)</f>
        <v>16450</v>
      </c>
      <c r="G125" s="24">
        <f>VLOOKUP(B125,Лист2!$B:$E,4,FALSE)</f>
        <v>15320</v>
      </c>
      <c r="H125" s="25">
        <f t="shared" si="2"/>
        <v>213112.821445312</v>
      </c>
      <c r="I125" s="29">
        <f t="shared" si="3"/>
        <v>19</v>
      </c>
    </row>
    <row r="126" ht="14.25" customHeight="1" spans="1:9">
      <c r="A126" s="18">
        <v>43949</v>
      </c>
      <c r="B126" s="19" t="s">
        <v>14</v>
      </c>
      <c r="C126" s="19">
        <v>286002</v>
      </c>
      <c r="D126" s="19">
        <v>29159032.5</v>
      </c>
      <c r="E126" s="20">
        <f>VLOOKUP(B126,Лист2!$B:$E,2,FALSE)</f>
        <v>128</v>
      </c>
      <c r="F126" s="20">
        <f>VLOOKUP(B126,Лист2!$B:$E,3,FALSE)</f>
        <v>16450</v>
      </c>
      <c r="G126" s="20">
        <f>VLOOKUP(B126,Лист2!$B:$E,4,FALSE)</f>
        <v>15320</v>
      </c>
      <c r="H126" s="21">
        <f t="shared" si="2"/>
        <v>227804.94140625</v>
      </c>
      <c r="I126" s="28">
        <f t="shared" si="3"/>
        <v>18</v>
      </c>
    </row>
    <row r="127" ht="14.25" customHeight="1" spans="1:9">
      <c r="A127" s="22">
        <v>43964</v>
      </c>
      <c r="B127" s="23" t="s">
        <v>14</v>
      </c>
      <c r="C127" s="23">
        <v>258459</v>
      </c>
      <c r="D127" s="23">
        <v>26467453.5</v>
      </c>
      <c r="E127" s="24">
        <f>VLOOKUP(B127,Лист2!$B:$E,2,FALSE)</f>
        <v>128</v>
      </c>
      <c r="F127" s="24">
        <f>VLOOKUP(B127,Лист2!$B:$E,3,FALSE)</f>
        <v>16450</v>
      </c>
      <c r="G127" s="24">
        <f>VLOOKUP(B127,Лист2!$B:$E,4,FALSE)</f>
        <v>15320</v>
      </c>
      <c r="H127" s="25">
        <f t="shared" si="2"/>
        <v>206776.98046875</v>
      </c>
      <c r="I127" s="29">
        <f t="shared" si="3"/>
        <v>20</v>
      </c>
    </row>
    <row r="128" ht="14.25" customHeight="1" spans="1:9">
      <c r="A128" s="18">
        <v>43954</v>
      </c>
      <c r="B128" s="19" t="s">
        <v>14</v>
      </c>
      <c r="C128" s="19">
        <v>274083</v>
      </c>
      <c r="D128" s="19">
        <v>28427001</v>
      </c>
      <c r="E128" s="20">
        <f>VLOOKUP(B128,Лист2!$B:$E,2,FALSE)</f>
        <v>128</v>
      </c>
      <c r="F128" s="20">
        <f>VLOOKUP(B128,Лист2!$B:$E,3,FALSE)</f>
        <v>16450</v>
      </c>
      <c r="G128" s="20">
        <f>VLOOKUP(B128,Лист2!$B:$E,4,FALSE)</f>
        <v>15320</v>
      </c>
      <c r="H128" s="21">
        <f t="shared" si="2"/>
        <v>222085.9453125</v>
      </c>
      <c r="I128" s="28">
        <f t="shared" si="3"/>
        <v>18</v>
      </c>
    </row>
    <row r="129" ht="14.25" customHeight="1" spans="1:9">
      <c r="A129" s="22">
        <v>43957</v>
      </c>
      <c r="B129" s="23" t="s">
        <v>14</v>
      </c>
      <c r="C129" s="23">
        <v>277512</v>
      </c>
      <c r="D129" s="23">
        <v>28770810.1056</v>
      </c>
      <c r="E129" s="24">
        <f>VLOOKUP(B129,Лист2!$B:$E,2,FALSE)</f>
        <v>128</v>
      </c>
      <c r="F129" s="24">
        <f>VLOOKUP(B129,Лист2!$B:$E,3,FALSE)</f>
        <v>16450</v>
      </c>
      <c r="G129" s="24">
        <f>VLOOKUP(B129,Лист2!$B:$E,4,FALSE)</f>
        <v>15320</v>
      </c>
      <c r="H129" s="25">
        <f t="shared" si="2"/>
        <v>224771.95395</v>
      </c>
      <c r="I129" s="29">
        <f t="shared" si="3"/>
        <v>19</v>
      </c>
    </row>
    <row r="130" ht="14.25" customHeight="1" spans="1:9">
      <c r="A130" s="18">
        <v>43974</v>
      </c>
      <c r="B130" s="19" t="s">
        <v>14</v>
      </c>
      <c r="C130" s="19">
        <v>356982</v>
      </c>
      <c r="D130" s="19">
        <v>35103926.71155</v>
      </c>
      <c r="E130" s="20">
        <f>VLOOKUP(B130,Лист2!$B:$E,2,FALSE)</f>
        <v>128</v>
      </c>
      <c r="F130" s="20">
        <f>VLOOKUP(B130,Лист2!$B:$E,3,FALSE)</f>
        <v>16450</v>
      </c>
      <c r="G130" s="20">
        <f>VLOOKUP(B130,Лист2!$B:$E,4,FALSE)</f>
        <v>15320</v>
      </c>
      <c r="H130" s="21">
        <f t="shared" si="2"/>
        <v>274249.427433984</v>
      </c>
      <c r="I130" s="28">
        <f t="shared" si="3"/>
        <v>21</v>
      </c>
    </row>
    <row r="131" ht="14.25" customHeight="1" spans="1:9">
      <c r="A131" s="22">
        <v>43976</v>
      </c>
      <c r="B131" s="23" t="s">
        <v>14</v>
      </c>
      <c r="C131" s="23">
        <v>266983.5</v>
      </c>
      <c r="D131" s="23">
        <v>27165913.5</v>
      </c>
      <c r="E131" s="24">
        <f>VLOOKUP(B131,Лист2!$B:$E,2,FALSE)</f>
        <v>128</v>
      </c>
      <c r="F131" s="24">
        <f>VLOOKUP(B131,Лист2!$B:$E,3,FALSE)</f>
        <v>16450</v>
      </c>
      <c r="G131" s="24">
        <f>VLOOKUP(B131,Лист2!$B:$E,4,FALSE)</f>
        <v>15320</v>
      </c>
      <c r="H131" s="25">
        <f t="shared" ref="H131:H194" si="4">IF(E131=0,0,D131/E131)</f>
        <v>212233.69921875</v>
      </c>
      <c r="I131" s="29">
        <f t="shared" ref="I131:I194" si="5">WEEKNUM(A131,2)</f>
        <v>22</v>
      </c>
    </row>
    <row r="132" ht="14.25" customHeight="1" spans="1:9">
      <c r="A132" s="18">
        <v>43951</v>
      </c>
      <c r="B132" s="19" t="s">
        <v>14</v>
      </c>
      <c r="C132" s="19">
        <v>311131.5</v>
      </c>
      <c r="D132" s="19">
        <v>32418879</v>
      </c>
      <c r="E132" s="20">
        <f>VLOOKUP(B132,Лист2!$B:$E,2,FALSE)</f>
        <v>128</v>
      </c>
      <c r="F132" s="20">
        <f>VLOOKUP(B132,Лист2!$B:$E,3,FALSE)</f>
        <v>16450</v>
      </c>
      <c r="G132" s="20">
        <f>VLOOKUP(B132,Лист2!$B:$E,4,FALSE)</f>
        <v>15320</v>
      </c>
      <c r="H132" s="21">
        <f t="shared" si="4"/>
        <v>253272.4921875</v>
      </c>
      <c r="I132" s="28">
        <f t="shared" si="5"/>
        <v>18</v>
      </c>
    </row>
    <row r="133" ht="14.25" customHeight="1" spans="1:9">
      <c r="A133" s="22">
        <v>43961</v>
      </c>
      <c r="B133" s="23" t="s">
        <v>14</v>
      </c>
      <c r="C133" s="23">
        <v>287206.5</v>
      </c>
      <c r="D133" s="23">
        <v>29536176.10605</v>
      </c>
      <c r="E133" s="24">
        <f>VLOOKUP(B133,Лист2!$B:$E,2,FALSE)</f>
        <v>128</v>
      </c>
      <c r="F133" s="24">
        <f>VLOOKUP(B133,Лист2!$B:$E,3,FALSE)</f>
        <v>16450</v>
      </c>
      <c r="G133" s="24">
        <f>VLOOKUP(B133,Лист2!$B:$E,4,FALSE)</f>
        <v>15320</v>
      </c>
      <c r="H133" s="25">
        <f t="shared" si="4"/>
        <v>230751.375828516</v>
      </c>
      <c r="I133" s="29">
        <f t="shared" si="5"/>
        <v>19</v>
      </c>
    </row>
    <row r="134" ht="14.25" customHeight="1" spans="1:9">
      <c r="A134" s="18">
        <v>43959</v>
      </c>
      <c r="B134" s="19" t="s">
        <v>14</v>
      </c>
      <c r="C134" s="19">
        <v>370092</v>
      </c>
      <c r="D134" s="19">
        <v>38091556.5</v>
      </c>
      <c r="E134" s="20">
        <f>VLOOKUP(B134,Лист2!$B:$E,2,FALSE)</f>
        <v>128</v>
      </c>
      <c r="F134" s="20">
        <f>VLOOKUP(B134,Лист2!$B:$E,3,FALSE)</f>
        <v>16450</v>
      </c>
      <c r="G134" s="20">
        <f>VLOOKUP(B134,Лист2!$B:$E,4,FALSE)</f>
        <v>15320</v>
      </c>
      <c r="H134" s="21">
        <f t="shared" si="4"/>
        <v>297590.28515625</v>
      </c>
      <c r="I134" s="28">
        <f t="shared" si="5"/>
        <v>19</v>
      </c>
    </row>
    <row r="135" ht="14.25" customHeight="1" spans="1:9">
      <c r="A135" s="22">
        <v>43958</v>
      </c>
      <c r="B135" s="23" t="s">
        <v>14</v>
      </c>
      <c r="C135" s="23">
        <v>247813.5</v>
      </c>
      <c r="D135" s="23">
        <v>25325271</v>
      </c>
      <c r="E135" s="24">
        <f>VLOOKUP(B135,Лист2!$B:$E,2,FALSE)</f>
        <v>128</v>
      </c>
      <c r="F135" s="24">
        <f>VLOOKUP(B135,Лист2!$B:$E,3,FALSE)</f>
        <v>16450</v>
      </c>
      <c r="G135" s="24">
        <f>VLOOKUP(B135,Лист2!$B:$E,4,FALSE)</f>
        <v>15320</v>
      </c>
      <c r="H135" s="25">
        <f t="shared" si="4"/>
        <v>197853.6796875</v>
      </c>
      <c r="I135" s="29">
        <f t="shared" si="5"/>
        <v>19</v>
      </c>
    </row>
    <row r="136" ht="14.25" customHeight="1" spans="1:9">
      <c r="A136" s="18">
        <v>43975</v>
      </c>
      <c r="B136" s="19" t="s">
        <v>14</v>
      </c>
      <c r="C136" s="19">
        <v>287740.5</v>
      </c>
      <c r="D136" s="19">
        <v>28188534</v>
      </c>
      <c r="E136" s="20">
        <f>VLOOKUP(B136,Лист2!$B:$E,2,FALSE)</f>
        <v>128</v>
      </c>
      <c r="F136" s="20">
        <f>VLOOKUP(B136,Лист2!$B:$E,3,FALSE)</f>
        <v>16450</v>
      </c>
      <c r="G136" s="20">
        <f>VLOOKUP(B136,Лист2!$B:$E,4,FALSE)</f>
        <v>15320</v>
      </c>
      <c r="H136" s="21">
        <f t="shared" si="4"/>
        <v>220222.921875</v>
      </c>
      <c r="I136" s="28">
        <f t="shared" si="5"/>
        <v>21</v>
      </c>
    </row>
    <row r="137" ht="14.25" customHeight="1" spans="1:9">
      <c r="A137" s="22">
        <v>43967</v>
      </c>
      <c r="B137" s="23" t="s">
        <v>15</v>
      </c>
      <c r="C137" s="23">
        <v>408810</v>
      </c>
      <c r="D137" s="23">
        <v>42323631</v>
      </c>
      <c r="E137" s="24">
        <f>VLOOKUP(B137,Лист2!$B:$E,2,FALSE)</f>
        <v>125</v>
      </c>
      <c r="F137" s="24">
        <f>VLOOKUP(B137,Лист2!$B:$E,3,FALSE)</f>
        <v>20914</v>
      </c>
      <c r="G137" s="24">
        <f>VLOOKUP(B137,Лист2!$B:$E,4,FALSE)</f>
        <v>19479</v>
      </c>
      <c r="H137" s="25">
        <f t="shared" si="4"/>
        <v>338589.048</v>
      </c>
      <c r="I137" s="29">
        <f t="shared" si="5"/>
        <v>20</v>
      </c>
    </row>
    <row r="138" ht="14.25" customHeight="1" spans="1:9">
      <c r="A138" s="18">
        <v>43970</v>
      </c>
      <c r="B138" s="19" t="s">
        <v>15</v>
      </c>
      <c r="C138" s="19">
        <v>362536.5</v>
      </c>
      <c r="D138" s="19">
        <v>37023243</v>
      </c>
      <c r="E138" s="20">
        <f>VLOOKUP(B138,Лист2!$B:$E,2,FALSE)</f>
        <v>125</v>
      </c>
      <c r="F138" s="20">
        <f>VLOOKUP(B138,Лист2!$B:$E,3,FALSE)</f>
        <v>20914</v>
      </c>
      <c r="G138" s="20">
        <f>VLOOKUP(B138,Лист2!$B:$E,4,FALSE)</f>
        <v>19479</v>
      </c>
      <c r="H138" s="21">
        <f t="shared" si="4"/>
        <v>296185.944</v>
      </c>
      <c r="I138" s="28">
        <f t="shared" si="5"/>
        <v>21</v>
      </c>
    </row>
    <row r="139" ht="14.25" customHeight="1" spans="1:9">
      <c r="A139" s="22">
        <v>43968</v>
      </c>
      <c r="B139" s="23" t="s">
        <v>15</v>
      </c>
      <c r="C139" s="23">
        <v>357072</v>
      </c>
      <c r="D139" s="23">
        <v>36834567</v>
      </c>
      <c r="E139" s="24">
        <f>VLOOKUP(B139,Лист2!$B:$E,2,FALSE)</f>
        <v>125</v>
      </c>
      <c r="F139" s="24">
        <f>VLOOKUP(B139,Лист2!$B:$E,3,FALSE)</f>
        <v>20914</v>
      </c>
      <c r="G139" s="24">
        <f>VLOOKUP(B139,Лист2!$B:$E,4,FALSE)</f>
        <v>19479</v>
      </c>
      <c r="H139" s="25">
        <f t="shared" si="4"/>
        <v>294676.536</v>
      </c>
      <c r="I139" s="29">
        <f t="shared" si="5"/>
        <v>20</v>
      </c>
    </row>
    <row r="140" ht="14.25" customHeight="1" spans="1:9">
      <c r="A140" s="18">
        <v>43960</v>
      </c>
      <c r="B140" s="19" t="s">
        <v>15</v>
      </c>
      <c r="C140" s="19">
        <v>359214</v>
      </c>
      <c r="D140" s="19">
        <v>38693427</v>
      </c>
      <c r="E140" s="20">
        <f>VLOOKUP(B140,Лист2!$B:$E,2,FALSE)</f>
        <v>125</v>
      </c>
      <c r="F140" s="20">
        <f>VLOOKUP(B140,Лист2!$B:$E,3,FALSE)</f>
        <v>20914</v>
      </c>
      <c r="G140" s="20">
        <f>VLOOKUP(B140,Лист2!$B:$E,4,FALSE)</f>
        <v>19479</v>
      </c>
      <c r="H140" s="21">
        <f t="shared" si="4"/>
        <v>309547.416</v>
      </c>
      <c r="I140" s="28">
        <f t="shared" si="5"/>
        <v>19</v>
      </c>
    </row>
    <row r="141" ht="14.25" customHeight="1" spans="1:9">
      <c r="A141" s="22">
        <v>43955</v>
      </c>
      <c r="B141" s="23" t="s">
        <v>15</v>
      </c>
      <c r="C141" s="23">
        <v>360255</v>
      </c>
      <c r="D141" s="23">
        <v>38406954</v>
      </c>
      <c r="E141" s="24">
        <f>VLOOKUP(B141,Лист2!$B:$E,2,FALSE)</f>
        <v>125</v>
      </c>
      <c r="F141" s="24">
        <f>VLOOKUP(B141,Лист2!$B:$E,3,FALSE)</f>
        <v>20914</v>
      </c>
      <c r="G141" s="24">
        <f>VLOOKUP(B141,Лист2!$B:$E,4,FALSE)</f>
        <v>19479</v>
      </c>
      <c r="H141" s="25">
        <f t="shared" si="4"/>
        <v>307255.632</v>
      </c>
      <c r="I141" s="29">
        <f t="shared" si="5"/>
        <v>19</v>
      </c>
    </row>
    <row r="142" ht="14.25" customHeight="1" spans="1:9">
      <c r="A142" s="18">
        <v>43950</v>
      </c>
      <c r="B142" s="19" t="s">
        <v>15</v>
      </c>
      <c r="C142" s="19">
        <v>387220.5</v>
      </c>
      <c r="D142" s="19">
        <v>41559384</v>
      </c>
      <c r="E142" s="20">
        <f>VLOOKUP(B142,Лист2!$B:$E,2,FALSE)</f>
        <v>125</v>
      </c>
      <c r="F142" s="20">
        <f>VLOOKUP(B142,Лист2!$B:$E,3,FALSE)</f>
        <v>20914</v>
      </c>
      <c r="G142" s="20">
        <f>VLOOKUP(B142,Лист2!$B:$E,4,FALSE)</f>
        <v>19479</v>
      </c>
      <c r="H142" s="21">
        <f t="shared" si="4"/>
        <v>332475.072</v>
      </c>
      <c r="I142" s="28">
        <f t="shared" si="5"/>
        <v>18</v>
      </c>
    </row>
    <row r="143" ht="14.25" customHeight="1" spans="1:9">
      <c r="A143" s="22">
        <v>43953</v>
      </c>
      <c r="B143" s="23" t="s">
        <v>15</v>
      </c>
      <c r="C143" s="23">
        <v>296580</v>
      </c>
      <c r="D143" s="23">
        <v>31843737</v>
      </c>
      <c r="E143" s="24">
        <f>VLOOKUP(B143,Лист2!$B:$E,2,FALSE)</f>
        <v>125</v>
      </c>
      <c r="F143" s="24">
        <f>VLOOKUP(B143,Лист2!$B:$E,3,FALSE)</f>
        <v>20914</v>
      </c>
      <c r="G143" s="24">
        <f>VLOOKUP(B143,Лист2!$B:$E,4,FALSE)</f>
        <v>19479</v>
      </c>
      <c r="H143" s="25">
        <f t="shared" si="4"/>
        <v>254749.896</v>
      </c>
      <c r="I143" s="29">
        <f t="shared" si="5"/>
        <v>18</v>
      </c>
    </row>
    <row r="144" ht="14.25" customHeight="1" spans="1:9">
      <c r="A144" s="18">
        <v>43977</v>
      </c>
      <c r="B144" s="19" t="s">
        <v>15</v>
      </c>
      <c r="C144" s="19">
        <v>369861</v>
      </c>
      <c r="D144" s="19">
        <v>38365960.5</v>
      </c>
      <c r="E144" s="20">
        <f>VLOOKUP(B144,Лист2!$B:$E,2,FALSE)</f>
        <v>125</v>
      </c>
      <c r="F144" s="20">
        <f>VLOOKUP(B144,Лист2!$B:$E,3,FALSE)</f>
        <v>20914</v>
      </c>
      <c r="G144" s="20">
        <f>VLOOKUP(B144,Лист2!$B:$E,4,FALSE)</f>
        <v>19479</v>
      </c>
      <c r="H144" s="21">
        <f t="shared" si="4"/>
        <v>306927.684</v>
      </c>
      <c r="I144" s="28">
        <f t="shared" si="5"/>
        <v>22</v>
      </c>
    </row>
    <row r="145" ht="14.25" customHeight="1" spans="1:9">
      <c r="A145" s="22">
        <v>43952</v>
      </c>
      <c r="B145" s="23" t="s">
        <v>15</v>
      </c>
      <c r="C145" s="23">
        <v>372504</v>
      </c>
      <c r="D145" s="23">
        <v>40077193.5</v>
      </c>
      <c r="E145" s="24">
        <f>VLOOKUP(B145,Лист2!$B:$E,2,FALSE)</f>
        <v>125</v>
      </c>
      <c r="F145" s="24">
        <f>VLOOKUP(B145,Лист2!$B:$E,3,FALSE)</f>
        <v>20914</v>
      </c>
      <c r="G145" s="24">
        <f>VLOOKUP(B145,Лист2!$B:$E,4,FALSE)</f>
        <v>19479</v>
      </c>
      <c r="H145" s="25">
        <f t="shared" si="4"/>
        <v>320617.548</v>
      </c>
      <c r="I145" s="29">
        <f t="shared" si="5"/>
        <v>18</v>
      </c>
    </row>
    <row r="146" ht="14.25" customHeight="1" spans="1:9">
      <c r="A146" s="18">
        <v>43963</v>
      </c>
      <c r="B146" s="19" t="s">
        <v>15</v>
      </c>
      <c r="C146" s="19">
        <v>373392</v>
      </c>
      <c r="D146" s="19">
        <v>39578577</v>
      </c>
      <c r="E146" s="20">
        <f>VLOOKUP(B146,Лист2!$B:$E,2,FALSE)</f>
        <v>125</v>
      </c>
      <c r="F146" s="20">
        <f>VLOOKUP(B146,Лист2!$B:$E,3,FALSE)</f>
        <v>20914</v>
      </c>
      <c r="G146" s="20">
        <f>VLOOKUP(B146,Лист2!$B:$E,4,FALSE)</f>
        <v>19479</v>
      </c>
      <c r="H146" s="21">
        <f t="shared" si="4"/>
        <v>316628.616</v>
      </c>
      <c r="I146" s="28">
        <f t="shared" si="5"/>
        <v>20</v>
      </c>
    </row>
    <row r="147" ht="14.25" customHeight="1" spans="1:9">
      <c r="A147" s="22">
        <v>43972</v>
      </c>
      <c r="B147" s="23" t="s">
        <v>15</v>
      </c>
      <c r="C147" s="23">
        <v>378043.5</v>
      </c>
      <c r="D147" s="23">
        <v>37902156.57</v>
      </c>
      <c r="E147" s="24">
        <f>VLOOKUP(B147,Лист2!$B:$E,2,FALSE)</f>
        <v>125</v>
      </c>
      <c r="F147" s="24">
        <f>VLOOKUP(B147,Лист2!$B:$E,3,FALSE)</f>
        <v>20914</v>
      </c>
      <c r="G147" s="24">
        <f>VLOOKUP(B147,Лист2!$B:$E,4,FALSE)</f>
        <v>19479</v>
      </c>
      <c r="H147" s="25">
        <f t="shared" si="4"/>
        <v>303217.25256</v>
      </c>
      <c r="I147" s="29">
        <f t="shared" si="5"/>
        <v>21</v>
      </c>
    </row>
    <row r="148" ht="14.25" customHeight="1" spans="1:9">
      <c r="A148" s="18">
        <v>43971</v>
      </c>
      <c r="B148" s="19" t="s">
        <v>15</v>
      </c>
      <c r="C148" s="19">
        <v>388668</v>
      </c>
      <c r="D148" s="19">
        <v>39639309</v>
      </c>
      <c r="E148" s="20">
        <f>VLOOKUP(B148,Лист2!$B:$E,2,FALSE)</f>
        <v>125</v>
      </c>
      <c r="F148" s="20">
        <f>VLOOKUP(B148,Лист2!$B:$E,3,FALSE)</f>
        <v>20914</v>
      </c>
      <c r="G148" s="20">
        <f>VLOOKUP(B148,Лист2!$B:$E,4,FALSE)</f>
        <v>19479</v>
      </c>
      <c r="H148" s="21">
        <f t="shared" si="4"/>
        <v>317114.472</v>
      </c>
      <c r="I148" s="28">
        <f t="shared" si="5"/>
        <v>21</v>
      </c>
    </row>
    <row r="149" ht="14.25" customHeight="1" spans="1:9">
      <c r="A149" s="22">
        <v>43956</v>
      </c>
      <c r="B149" s="23" t="s">
        <v>15</v>
      </c>
      <c r="C149" s="23">
        <v>333792</v>
      </c>
      <c r="D149" s="23">
        <v>35671734</v>
      </c>
      <c r="E149" s="24">
        <f>VLOOKUP(B149,Лист2!$B:$E,2,FALSE)</f>
        <v>125</v>
      </c>
      <c r="F149" s="24">
        <f>VLOOKUP(B149,Лист2!$B:$E,3,FALSE)</f>
        <v>20914</v>
      </c>
      <c r="G149" s="24">
        <f>VLOOKUP(B149,Лист2!$B:$E,4,FALSE)</f>
        <v>19479</v>
      </c>
      <c r="H149" s="25">
        <f t="shared" si="4"/>
        <v>285373.872</v>
      </c>
      <c r="I149" s="29">
        <f t="shared" si="5"/>
        <v>19</v>
      </c>
    </row>
    <row r="150" ht="14.25" customHeight="1" spans="1:9">
      <c r="A150" s="18">
        <v>43949</v>
      </c>
      <c r="B150" s="19" t="s">
        <v>15</v>
      </c>
      <c r="C150" s="19">
        <v>376060.5</v>
      </c>
      <c r="D150" s="19">
        <v>39918028.5</v>
      </c>
      <c r="E150" s="20">
        <f>VLOOKUP(B150,Лист2!$B:$E,2,FALSE)</f>
        <v>125</v>
      </c>
      <c r="F150" s="20">
        <f>VLOOKUP(B150,Лист2!$B:$E,3,FALSE)</f>
        <v>20914</v>
      </c>
      <c r="G150" s="20">
        <f>VLOOKUP(B150,Лист2!$B:$E,4,FALSE)</f>
        <v>19479</v>
      </c>
      <c r="H150" s="21">
        <f t="shared" si="4"/>
        <v>319344.228</v>
      </c>
      <c r="I150" s="28">
        <f t="shared" si="5"/>
        <v>18</v>
      </c>
    </row>
    <row r="151" ht="14.25" customHeight="1" spans="1:9">
      <c r="A151" s="22">
        <v>43964</v>
      </c>
      <c r="B151" s="23" t="s">
        <v>15</v>
      </c>
      <c r="C151" s="23">
        <v>350068.5</v>
      </c>
      <c r="D151" s="23">
        <v>37197115.5</v>
      </c>
      <c r="E151" s="24">
        <f>VLOOKUP(B151,Лист2!$B:$E,2,FALSE)</f>
        <v>125</v>
      </c>
      <c r="F151" s="24">
        <f>VLOOKUP(B151,Лист2!$B:$E,3,FALSE)</f>
        <v>20914</v>
      </c>
      <c r="G151" s="24">
        <f>VLOOKUP(B151,Лист2!$B:$E,4,FALSE)</f>
        <v>19479</v>
      </c>
      <c r="H151" s="25">
        <f t="shared" si="4"/>
        <v>297576.924</v>
      </c>
      <c r="I151" s="29">
        <f t="shared" si="5"/>
        <v>20</v>
      </c>
    </row>
    <row r="152" ht="14.25" customHeight="1" spans="1:9">
      <c r="A152" s="18">
        <v>43982</v>
      </c>
      <c r="B152" s="19" t="s">
        <v>14</v>
      </c>
      <c r="C152" s="19">
        <v>294337.5</v>
      </c>
      <c r="D152" s="19">
        <v>29327766</v>
      </c>
      <c r="E152" s="20">
        <f>VLOOKUP(B152,Лист2!$B:$E,2,FALSE)</f>
        <v>128</v>
      </c>
      <c r="F152" s="20">
        <f>VLOOKUP(B152,Лист2!$B:$E,3,FALSE)</f>
        <v>16450</v>
      </c>
      <c r="G152" s="20">
        <f>VLOOKUP(B152,Лист2!$B:$E,4,FALSE)</f>
        <v>15320</v>
      </c>
      <c r="H152" s="21">
        <f t="shared" si="4"/>
        <v>229123.171875</v>
      </c>
      <c r="I152" s="28">
        <f t="shared" si="5"/>
        <v>22</v>
      </c>
    </row>
    <row r="153" ht="14.25" customHeight="1" spans="1:9">
      <c r="A153" s="22">
        <v>43954</v>
      </c>
      <c r="B153" s="23" t="s">
        <v>15</v>
      </c>
      <c r="C153" s="23">
        <v>342666</v>
      </c>
      <c r="D153" s="23">
        <v>36631999.5</v>
      </c>
      <c r="E153" s="24">
        <f>VLOOKUP(B153,Лист2!$B:$E,2,FALSE)</f>
        <v>125</v>
      </c>
      <c r="F153" s="24">
        <f>VLOOKUP(B153,Лист2!$B:$E,3,FALSE)</f>
        <v>20914</v>
      </c>
      <c r="G153" s="24">
        <f>VLOOKUP(B153,Лист2!$B:$E,4,FALSE)</f>
        <v>19479</v>
      </c>
      <c r="H153" s="25">
        <f t="shared" si="4"/>
        <v>293055.996</v>
      </c>
      <c r="I153" s="29">
        <f t="shared" si="5"/>
        <v>18</v>
      </c>
    </row>
    <row r="154" ht="14.25" customHeight="1" spans="1:9">
      <c r="A154" s="18">
        <v>43981</v>
      </c>
      <c r="B154" s="19" t="s">
        <v>14</v>
      </c>
      <c r="C154" s="19">
        <v>364882.5</v>
      </c>
      <c r="D154" s="19">
        <v>35724493.5</v>
      </c>
      <c r="E154" s="20">
        <f>VLOOKUP(B154,Лист2!$B:$E,2,FALSE)</f>
        <v>128</v>
      </c>
      <c r="F154" s="20">
        <f>VLOOKUP(B154,Лист2!$B:$E,3,FALSE)</f>
        <v>16450</v>
      </c>
      <c r="G154" s="20">
        <f>VLOOKUP(B154,Лист2!$B:$E,4,FALSE)</f>
        <v>15320</v>
      </c>
      <c r="H154" s="21">
        <f t="shared" si="4"/>
        <v>279097.60546875</v>
      </c>
      <c r="I154" s="28">
        <f t="shared" si="5"/>
        <v>22</v>
      </c>
    </row>
    <row r="155" ht="14.25" customHeight="1" spans="1:9">
      <c r="A155" s="22">
        <v>43957</v>
      </c>
      <c r="B155" s="23" t="s">
        <v>15</v>
      </c>
      <c r="C155" s="23">
        <v>355278</v>
      </c>
      <c r="D155" s="23">
        <v>38092344</v>
      </c>
      <c r="E155" s="24">
        <f>VLOOKUP(B155,Лист2!$B:$E,2,FALSE)</f>
        <v>125</v>
      </c>
      <c r="F155" s="24">
        <f>VLOOKUP(B155,Лист2!$B:$E,3,FALSE)</f>
        <v>20914</v>
      </c>
      <c r="G155" s="24">
        <f>VLOOKUP(B155,Лист2!$B:$E,4,FALSE)</f>
        <v>19479</v>
      </c>
      <c r="H155" s="25">
        <f t="shared" si="4"/>
        <v>304738.752</v>
      </c>
      <c r="I155" s="29">
        <f t="shared" si="5"/>
        <v>19</v>
      </c>
    </row>
    <row r="156" ht="14.25" customHeight="1" spans="1:9">
      <c r="A156" s="18">
        <v>43974</v>
      </c>
      <c r="B156" s="19" t="s">
        <v>15</v>
      </c>
      <c r="C156" s="19">
        <v>456885</v>
      </c>
      <c r="D156" s="19">
        <v>46408080</v>
      </c>
      <c r="E156" s="20">
        <f>VLOOKUP(B156,Лист2!$B:$E,2,FALSE)</f>
        <v>125</v>
      </c>
      <c r="F156" s="20">
        <f>VLOOKUP(B156,Лист2!$B:$E,3,FALSE)</f>
        <v>20914</v>
      </c>
      <c r="G156" s="20">
        <f>VLOOKUP(B156,Лист2!$B:$E,4,FALSE)</f>
        <v>19479</v>
      </c>
      <c r="H156" s="21">
        <f t="shared" si="4"/>
        <v>371264.64</v>
      </c>
      <c r="I156" s="28">
        <f t="shared" si="5"/>
        <v>21</v>
      </c>
    </row>
    <row r="157" ht="14.25" customHeight="1" spans="1:9">
      <c r="A157" s="22">
        <v>43979</v>
      </c>
      <c r="B157" s="23" t="s">
        <v>14</v>
      </c>
      <c r="C157" s="23">
        <v>278491.5</v>
      </c>
      <c r="D157" s="23">
        <v>28151004.75</v>
      </c>
      <c r="E157" s="24">
        <f>VLOOKUP(B157,Лист2!$B:$E,2,FALSE)</f>
        <v>128</v>
      </c>
      <c r="F157" s="24">
        <f>VLOOKUP(B157,Лист2!$B:$E,3,FALSE)</f>
        <v>16450</v>
      </c>
      <c r="G157" s="24">
        <f>VLOOKUP(B157,Лист2!$B:$E,4,FALSE)</f>
        <v>15320</v>
      </c>
      <c r="H157" s="25">
        <f t="shared" si="4"/>
        <v>219929.724609375</v>
      </c>
      <c r="I157" s="29">
        <f t="shared" si="5"/>
        <v>22</v>
      </c>
    </row>
    <row r="158" ht="14.25" customHeight="1" spans="1:9">
      <c r="A158" s="18">
        <v>43976</v>
      </c>
      <c r="B158" s="19" t="s">
        <v>15</v>
      </c>
      <c r="C158" s="19">
        <v>349734</v>
      </c>
      <c r="D158" s="19">
        <v>36883428</v>
      </c>
      <c r="E158" s="20">
        <f>VLOOKUP(B158,Лист2!$B:$E,2,FALSE)</f>
        <v>125</v>
      </c>
      <c r="F158" s="20">
        <f>VLOOKUP(B158,Лист2!$B:$E,3,FALSE)</f>
        <v>20914</v>
      </c>
      <c r="G158" s="20">
        <f>VLOOKUP(B158,Лист2!$B:$E,4,FALSE)</f>
        <v>19479</v>
      </c>
      <c r="H158" s="21">
        <f t="shared" si="4"/>
        <v>295067.424</v>
      </c>
      <c r="I158" s="28">
        <f t="shared" si="5"/>
        <v>22</v>
      </c>
    </row>
    <row r="159" ht="14.25" customHeight="1" spans="1:9">
      <c r="A159" s="22">
        <v>43951</v>
      </c>
      <c r="B159" s="23" t="s">
        <v>15</v>
      </c>
      <c r="C159" s="23">
        <v>401580</v>
      </c>
      <c r="D159" s="23">
        <v>43028734.5</v>
      </c>
      <c r="E159" s="24">
        <f>VLOOKUP(B159,Лист2!$B:$E,2,FALSE)</f>
        <v>125</v>
      </c>
      <c r="F159" s="24">
        <f>VLOOKUP(B159,Лист2!$B:$E,3,FALSE)</f>
        <v>20914</v>
      </c>
      <c r="G159" s="24">
        <f>VLOOKUP(B159,Лист2!$B:$E,4,FALSE)</f>
        <v>19479</v>
      </c>
      <c r="H159" s="25">
        <f t="shared" si="4"/>
        <v>344229.876</v>
      </c>
      <c r="I159" s="29">
        <f t="shared" si="5"/>
        <v>18</v>
      </c>
    </row>
    <row r="160" ht="14.25" customHeight="1" spans="1:9">
      <c r="A160" s="18">
        <v>43961</v>
      </c>
      <c r="B160" s="19" t="s">
        <v>15</v>
      </c>
      <c r="C160" s="19">
        <v>368649</v>
      </c>
      <c r="D160" s="19">
        <v>39010875</v>
      </c>
      <c r="E160" s="20">
        <f>VLOOKUP(B160,Лист2!$B:$E,2,FALSE)</f>
        <v>125</v>
      </c>
      <c r="F160" s="20">
        <f>VLOOKUP(B160,Лист2!$B:$E,3,FALSE)</f>
        <v>20914</v>
      </c>
      <c r="G160" s="20">
        <f>VLOOKUP(B160,Лист2!$B:$E,4,FALSE)</f>
        <v>19479</v>
      </c>
      <c r="H160" s="21">
        <f t="shared" si="4"/>
        <v>312087</v>
      </c>
      <c r="I160" s="28">
        <f t="shared" si="5"/>
        <v>19</v>
      </c>
    </row>
    <row r="161" ht="14.25" customHeight="1" spans="1:9">
      <c r="A161" s="22">
        <v>43959</v>
      </c>
      <c r="B161" s="23" t="s">
        <v>15</v>
      </c>
      <c r="C161" s="23">
        <v>463530</v>
      </c>
      <c r="D161" s="23">
        <v>49123180.5</v>
      </c>
      <c r="E161" s="24">
        <f>VLOOKUP(B161,Лист2!$B:$E,2,FALSE)</f>
        <v>125</v>
      </c>
      <c r="F161" s="24">
        <f>VLOOKUP(B161,Лист2!$B:$E,3,FALSE)</f>
        <v>20914</v>
      </c>
      <c r="G161" s="24">
        <f>VLOOKUP(B161,Лист2!$B:$E,4,FALSE)</f>
        <v>19479</v>
      </c>
      <c r="H161" s="25">
        <f t="shared" si="4"/>
        <v>392985.444</v>
      </c>
      <c r="I161" s="29">
        <f t="shared" si="5"/>
        <v>19</v>
      </c>
    </row>
    <row r="162" ht="14.25" customHeight="1" spans="1:9">
      <c r="A162" s="18">
        <v>43958</v>
      </c>
      <c r="B162" s="19" t="s">
        <v>15</v>
      </c>
      <c r="C162" s="19">
        <v>319110</v>
      </c>
      <c r="D162" s="19">
        <v>33763989</v>
      </c>
      <c r="E162" s="20">
        <f>VLOOKUP(B162,Лист2!$B:$E,2,FALSE)</f>
        <v>125</v>
      </c>
      <c r="F162" s="20">
        <f>VLOOKUP(B162,Лист2!$B:$E,3,FALSE)</f>
        <v>20914</v>
      </c>
      <c r="G162" s="20">
        <f>VLOOKUP(B162,Лист2!$B:$E,4,FALSE)</f>
        <v>19479</v>
      </c>
      <c r="H162" s="21">
        <f t="shared" si="4"/>
        <v>270111.912</v>
      </c>
      <c r="I162" s="28">
        <f t="shared" si="5"/>
        <v>19</v>
      </c>
    </row>
    <row r="163" ht="14.25" customHeight="1" spans="1:9">
      <c r="A163" s="22">
        <v>43975</v>
      </c>
      <c r="B163" s="23" t="s">
        <v>15</v>
      </c>
      <c r="C163" s="23">
        <v>375744</v>
      </c>
      <c r="D163" s="23">
        <v>38191381.5</v>
      </c>
      <c r="E163" s="24">
        <f>VLOOKUP(B163,Лист2!$B:$E,2,FALSE)</f>
        <v>125</v>
      </c>
      <c r="F163" s="24">
        <f>VLOOKUP(B163,Лист2!$B:$E,3,FALSE)</f>
        <v>20914</v>
      </c>
      <c r="G163" s="24">
        <f>VLOOKUP(B163,Лист2!$B:$E,4,FALSE)</f>
        <v>19479</v>
      </c>
      <c r="H163" s="25">
        <f t="shared" si="4"/>
        <v>305531.052</v>
      </c>
      <c r="I163" s="29">
        <f t="shared" si="5"/>
        <v>21</v>
      </c>
    </row>
    <row r="164" ht="14.25" customHeight="1" spans="1:9">
      <c r="A164" s="18">
        <v>43967</v>
      </c>
      <c r="B164" s="19" t="s">
        <v>16</v>
      </c>
      <c r="C164" s="19">
        <v>81331.5</v>
      </c>
      <c r="D164" s="19">
        <v>6652179</v>
      </c>
      <c r="E164" s="20">
        <f>VLOOKUP(B164,Лист2!$B:$E,2,FALSE)</f>
        <v>36</v>
      </c>
      <c r="F164" s="20">
        <f>VLOOKUP(B164,Лист2!$B:$E,3,FALSE)</f>
        <v>4923</v>
      </c>
      <c r="G164" s="20">
        <f>VLOOKUP(B164,Лист2!$B:$E,4,FALSE)</f>
        <v>4560</v>
      </c>
      <c r="H164" s="21">
        <f t="shared" si="4"/>
        <v>184782.75</v>
      </c>
      <c r="I164" s="28">
        <f t="shared" si="5"/>
        <v>20</v>
      </c>
    </row>
    <row r="165" ht="14.25" customHeight="1" spans="1:9">
      <c r="A165" s="22">
        <v>43970</v>
      </c>
      <c r="B165" s="23" t="s">
        <v>16</v>
      </c>
      <c r="C165" s="23">
        <v>75796.5</v>
      </c>
      <c r="D165" s="23">
        <v>6173463</v>
      </c>
      <c r="E165" s="24">
        <f>VLOOKUP(B165,Лист2!$B:$E,2,FALSE)</f>
        <v>36</v>
      </c>
      <c r="F165" s="24">
        <f>VLOOKUP(B165,Лист2!$B:$E,3,FALSE)</f>
        <v>4923</v>
      </c>
      <c r="G165" s="24">
        <f>VLOOKUP(B165,Лист2!$B:$E,4,FALSE)</f>
        <v>4560</v>
      </c>
      <c r="H165" s="25">
        <f t="shared" si="4"/>
        <v>171485.083333333</v>
      </c>
      <c r="I165" s="29">
        <f t="shared" si="5"/>
        <v>21</v>
      </c>
    </row>
    <row r="166" ht="14.25" customHeight="1" spans="1:9">
      <c r="A166" s="18">
        <v>43968</v>
      </c>
      <c r="B166" s="19" t="s">
        <v>16</v>
      </c>
      <c r="C166" s="19">
        <v>72861</v>
      </c>
      <c r="D166" s="19">
        <v>5952802.5</v>
      </c>
      <c r="E166" s="20">
        <f>VLOOKUP(B166,Лист2!$B:$E,2,FALSE)</f>
        <v>36</v>
      </c>
      <c r="F166" s="20">
        <f>VLOOKUP(B166,Лист2!$B:$E,3,FALSE)</f>
        <v>4923</v>
      </c>
      <c r="G166" s="20">
        <f>VLOOKUP(B166,Лист2!$B:$E,4,FALSE)</f>
        <v>4560</v>
      </c>
      <c r="H166" s="21">
        <f t="shared" si="4"/>
        <v>165355.625</v>
      </c>
      <c r="I166" s="28">
        <f t="shared" si="5"/>
        <v>20</v>
      </c>
    </row>
    <row r="167" ht="14.25" customHeight="1" spans="1:9">
      <c r="A167" s="22">
        <v>43960</v>
      </c>
      <c r="B167" s="23" t="s">
        <v>16</v>
      </c>
      <c r="C167" s="23">
        <v>83373</v>
      </c>
      <c r="D167" s="23">
        <v>7253427</v>
      </c>
      <c r="E167" s="24">
        <f>VLOOKUP(B167,Лист2!$B:$E,2,FALSE)</f>
        <v>36</v>
      </c>
      <c r="F167" s="24">
        <f>VLOOKUP(B167,Лист2!$B:$E,3,FALSE)</f>
        <v>4923</v>
      </c>
      <c r="G167" s="24">
        <f>VLOOKUP(B167,Лист2!$B:$E,4,FALSE)</f>
        <v>4560</v>
      </c>
      <c r="H167" s="25">
        <f t="shared" si="4"/>
        <v>201484.083333333</v>
      </c>
      <c r="I167" s="29">
        <f t="shared" si="5"/>
        <v>19</v>
      </c>
    </row>
    <row r="168" ht="14.25" customHeight="1" spans="1:9">
      <c r="A168" s="18">
        <v>43955</v>
      </c>
      <c r="B168" s="19" t="s">
        <v>16</v>
      </c>
      <c r="C168" s="19">
        <v>64108.5</v>
      </c>
      <c r="D168" s="19">
        <v>5561452.5</v>
      </c>
      <c r="E168" s="20">
        <f>VLOOKUP(B168,Лист2!$B:$E,2,FALSE)</f>
        <v>36</v>
      </c>
      <c r="F168" s="20">
        <f>VLOOKUP(B168,Лист2!$B:$E,3,FALSE)</f>
        <v>4923</v>
      </c>
      <c r="G168" s="20">
        <f>VLOOKUP(B168,Лист2!$B:$E,4,FALSE)</f>
        <v>4560</v>
      </c>
      <c r="H168" s="21">
        <f t="shared" si="4"/>
        <v>154484.791666667</v>
      </c>
      <c r="I168" s="28">
        <f t="shared" si="5"/>
        <v>19</v>
      </c>
    </row>
    <row r="169" ht="14.25" customHeight="1" spans="1:9">
      <c r="A169" s="22">
        <v>43950</v>
      </c>
      <c r="B169" s="23" t="s">
        <v>16</v>
      </c>
      <c r="C169" s="23">
        <v>74707.5</v>
      </c>
      <c r="D169" s="23">
        <v>6454458</v>
      </c>
      <c r="E169" s="24">
        <f>VLOOKUP(B169,Лист2!$B:$E,2,FALSE)</f>
        <v>36</v>
      </c>
      <c r="F169" s="24">
        <f>VLOOKUP(B169,Лист2!$B:$E,3,FALSE)</f>
        <v>4923</v>
      </c>
      <c r="G169" s="24">
        <f>VLOOKUP(B169,Лист2!$B:$E,4,FALSE)</f>
        <v>4560</v>
      </c>
      <c r="H169" s="25">
        <f t="shared" si="4"/>
        <v>179290.5</v>
      </c>
      <c r="I169" s="29">
        <f t="shared" si="5"/>
        <v>18</v>
      </c>
    </row>
    <row r="170" ht="14.25" customHeight="1" spans="1:9">
      <c r="A170" s="18">
        <v>43953</v>
      </c>
      <c r="B170" s="19" t="s">
        <v>16</v>
      </c>
      <c r="C170" s="19">
        <v>46216.5</v>
      </c>
      <c r="D170" s="19">
        <v>4118251.5</v>
      </c>
      <c r="E170" s="20">
        <f>VLOOKUP(B170,Лист2!$B:$E,2,FALSE)</f>
        <v>36</v>
      </c>
      <c r="F170" s="20">
        <f>VLOOKUP(B170,Лист2!$B:$E,3,FALSE)</f>
        <v>4923</v>
      </c>
      <c r="G170" s="20">
        <f>VLOOKUP(B170,Лист2!$B:$E,4,FALSE)</f>
        <v>4560</v>
      </c>
      <c r="H170" s="21">
        <f t="shared" si="4"/>
        <v>114395.875</v>
      </c>
      <c r="I170" s="28">
        <f t="shared" si="5"/>
        <v>18</v>
      </c>
    </row>
    <row r="171" ht="14.25" customHeight="1" spans="1:9">
      <c r="A171" s="22">
        <v>43977</v>
      </c>
      <c r="B171" s="23" t="s">
        <v>16</v>
      </c>
      <c r="C171" s="23">
        <v>67726.5</v>
      </c>
      <c r="D171" s="23">
        <v>5864989.5</v>
      </c>
      <c r="E171" s="24">
        <f>VLOOKUP(B171,Лист2!$B:$E,2,FALSE)</f>
        <v>36</v>
      </c>
      <c r="F171" s="24">
        <f>VLOOKUP(B171,Лист2!$B:$E,3,FALSE)</f>
        <v>4923</v>
      </c>
      <c r="G171" s="24">
        <f>VLOOKUP(B171,Лист2!$B:$E,4,FALSE)</f>
        <v>4560</v>
      </c>
      <c r="H171" s="25">
        <f t="shared" si="4"/>
        <v>162916.375</v>
      </c>
      <c r="I171" s="29">
        <f t="shared" si="5"/>
        <v>22</v>
      </c>
    </row>
    <row r="172" ht="14.25" customHeight="1" spans="1:9">
      <c r="A172" s="18">
        <v>43952</v>
      </c>
      <c r="B172" s="19" t="s">
        <v>16</v>
      </c>
      <c r="C172" s="19">
        <v>82228.5</v>
      </c>
      <c r="D172" s="19">
        <v>7032225</v>
      </c>
      <c r="E172" s="20">
        <f>VLOOKUP(B172,Лист2!$B:$E,2,FALSE)</f>
        <v>36</v>
      </c>
      <c r="F172" s="20">
        <f>VLOOKUP(B172,Лист2!$B:$E,3,FALSE)</f>
        <v>4923</v>
      </c>
      <c r="G172" s="20">
        <f>VLOOKUP(B172,Лист2!$B:$E,4,FALSE)</f>
        <v>4560</v>
      </c>
      <c r="H172" s="21">
        <f t="shared" si="4"/>
        <v>195339.583333333</v>
      </c>
      <c r="I172" s="28">
        <f t="shared" si="5"/>
        <v>18</v>
      </c>
    </row>
    <row r="173" ht="14.25" customHeight="1" spans="1:9">
      <c r="A173" s="22">
        <v>43963</v>
      </c>
      <c r="B173" s="23" t="s">
        <v>16</v>
      </c>
      <c r="C173" s="23">
        <v>64390.5</v>
      </c>
      <c r="D173" s="23">
        <v>5523145.5</v>
      </c>
      <c r="E173" s="24">
        <f>VLOOKUP(B173,Лист2!$B:$E,2,FALSE)</f>
        <v>36</v>
      </c>
      <c r="F173" s="24">
        <f>VLOOKUP(B173,Лист2!$B:$E,3,FALSE)</f>
        <v>4923</v>
      </c>
      <c r="G173" s="24">
        <f>VLOOKUP(B173,Лист2!$B:$E,4,FALSE)</f>
        <v>4560</v>
      </c>
      <c r="H173" s="25">
        <f t="shared" si="4"/>
        <v>153420.708333333</v>
      </c>
      <c r="I173" s="29">
        <f t="shared" si="5"/>
        <v>20</v>
      </c>
    </row>
    <row r="174" ht="14.25" customHeight="1" spans="1:9">
      <c r="A174" s="18">
        <v>43972</v>
      </c>
      <c r="B174" s="19" t="s">
        <v>16</v>
      </c>
      <c r="C174" s="19">
        <v>73126.5</v>
      </c>
      <c r="D174" s="19">
        <v>5864085</v>
      </c>
      <c r="E174" s="20">
        <f>VLOOKUP(B174,Лист2!$B:$E,2,FALSE)</f>
        <v>36</v>
      </c>
      <c r="F174" s="20">
        <f>VLOOKUP(B174,Лист2!$B:$E,3,FALSE)</f>
        <v>4923</v>
      </c>
      <c r="G174" s="20">
        <f>VLOOKUP(B174,Лист2!$B:$E,4,FALSE)</f>
        <v>4560</v>
      </c>
      <c r="H174" s="21">
        <f t="shared" si="4"/>
        <v>162891.25</v>
      </c>
      <c r="I174" s="28">
        <f t="shared" si="5"/>
        <v>21</v>
      </c>
    </row>
    <row r="175" ht="14.25" customHeight="1" spans="1:9">
      <c r="A175" s="22">
        <v>43971</v>
      </c>
      <c r="B175" s="23" t="s">
        <v>16</v>
      </c>
      <c r="C175" s="23">
        <v>99631.5</v>
      </c>
      <c r="D175" s="23">
        <v>7121946</v>
      </c>
      <c r="E175" s="24">
        <f>VLOOKUP(B175,Лист2!$B:$E,2,FALSE)</f>
        <v>36</v>
      </c>
      <c r="F175" s="24">
        <f>VLOOKUP(B175,Лист2!$B:$E,3,FALSE)</f>
        <v>4923</v>
      </c>
      <c r="G175" s="24">
        <f>VLOOKUP(B175,Лист2!$B:$E,4,FALSE)</f>
        <v>4560</v>
      </c>
      <c r="H175" s="25">
        <f t="shared" si="4"/>
        <v>197831.833333333</v>
      </c>
      <c r="I175" s="29">
        <f t="shared" si="5"/>
        <v>21</v>
      </c>
    </row>
    <row r="176" ht="14.25" customHeight="1" spans="1:9">
      <c r="A176" s="18">
        <v>43956</v>
      </c>
      <c r="B176" s="19" t="s">
        <v>16</v>
      </c>
      <c r="C176" s="19">
        <v>66396</v>
      </c>
      <c r="D176" s="19">
        <v>5770539</v>
      </c>
      <c r="E176" s="20">
        <f>VLOOKUP(B176,Лист2!$B:$E,2,FALSE)</f>
        <v>36</v>
      </c>
      <c r="F176" s="20">
        <f>VLOOKUP(B176,Лист2!$B:$E,3,FALSE)</f>
        <v>4923</v>
      </c>
      <c r="G176" s="20">
        <f>VLOOKUP(B176,Лист2!$B:$E,4,FALSE)</f>
        <v>4560</v>
      </c>
      <c r="H176" s="21">
        <f t="shared" si="4"/>
        <v>160292.75</v>
      </c>
      <c r="I176" s="28">
        <f t="shared" si="5"/>
        <v>19</v>
      </c>
    </row>
    <row r="177" ht="14.25" customHeight="1" spans="1:9">
      <c r="A177" s="22">
        <v>43949</v>
      </c>
      <c r="B177" s="23" t="s">
        <v>16</v>
      </c>
      <c r="C177" s="23">
        <v>73147.5</v>
      </c>
      <c r="D177" s="23">
        <v>6288246</v>
      </c>
      <c r="E177" s="24">
        <f>VLOOKUP(B177,Лист2!$B:$E,2,FALSE)</f>
        <v>36</v>
      </c>
      <c r="F177" s="24">
        <f>VLOOKUP(B177,Лист2!$B:$E,3,FALSE)</f>
        <v>4923</v>
      </c>
      <c r="G177" s="24">
        <f>VLOOKUP(B177,Лист2!$B:$E,4,FALSE)</f>
        <v>4560</v>
      </c>
      <c r="H177" s="25">
        <f t="shared" si="4"/>
        <v>174673.5</v>
      </c>
      <c r="I177" s="29">
        <f t="shared" si="5"/>
        <v>18</v>
      </c>
    </row>
    <row r="178" ht="14.25" customHeight="1" spans="1:9">
      <c r="A178" s="18">
        <v>43964</v>
      </c>
      <c r="B178" s="19" t="s">
        <v>16</v>
      </c>
      <c r="C178" s="19">
        <v>73062</v>
      </c>
      <c r="D178" s="19">
        <v>6333828</v>
      </c>
      <c r="E178" s="20">
        <f>VLOOKUP(B178,Лист2!$B:$E,2,FALSE)</f>
        <v>36</v>
      </c>
      <c r="F178" s="20">
        <f>VLOOKUP(B178,Лист2!$B:$E,3,FALSE)</f>
        <v>4923</v>
      </c>
      <c r="G178" s="20">
        <f>VLOOKUP(B178,Лист2!$B:$E,4,FALSE)</f>
        <v>4560</v>
      </c>
      <c r="H178" s="21">
        <f t="shared" si="4"/>
        <v>175939.666666667</v>
      </c>
      <c r="I178" s="28">
        <f t="shared" si="5"/>
        <v>20</v>
      </c>
    </row>
    <row r="179" ht="14.25" customHeight="1" spans="1:9">
      <c r="A179" s="22">
        <v>43982</v>
      </c>
      <c r="B179" s="23" t="s">
        <v>15</v>
      </c>
      <c r="C179" s="23">
        <v>379663.5</v>
      </c>
      <c r="D179" s="23">
        <v>39380178</v>
      </c>
      <c r="E179" s="24">
        <f>VLOOKUP(B179,Лист2!$B:$E,2,FALSE)</f>
        <v>125</v>
      </c>
      <c r="F179" s="24">
        <f>VLOOKUP(B179,Лист2!$B:$E,3,FALSE)</f>
        <v>20914</v>
      </c>
      <c r="G179" s="24">
        <f>VLOOKUP(B179,Лист2!$B:$E,4,FALSE)</f>
        <v>19479</v>
      </c>
      <c r="H179" s="25">
        <f t="shared" si="4"/>
        <v>315041.424</v>
      </c>
      <c r="I179" s="29">
        <f t="shared" si="5"/>
        <v>22</v>
      </c>
    </row>
    <row r="180" ht="14.25" customHeight="1" spans="1:9">
      <c r="A180" s="18">
        <v>43954</v>
      </c>
      <c r="B180" s="19" t="s">
        <v>16</v>
      </c>
      <c r="C180" s="19">
        <v>70581</v>
      </c>
      <c r="D180" s="19">
        <v>6221320.5</v>
      </c>
      <c r="E180" s="20">
        <f>VLOOKUP(B180,Лист2!$B:$E,2,FALSE)</f>
        <v>36</v>
      </c>
      <c r="F180" s="20">
        <f>VLOOKUP(B180,Лист2!$B:$E,3,FALSE)</f>
        <v>4923</v>
      </c>
      <c r="G180" s="20">
        <f>VLOOKUP(B180,Лист2!$B:$E,4,FALSE)</f>
        <v>4560</v>
      </c>
      <c r="H180" s="21">
        <f t="shared" si="4"/>
        <v>172814.458333333</v>
      </c>
      <c r="I180" s="28">
        <f t="shared" si="5"/>
        <v>18</v>
      </c>
    </row>
    <row r="181" ht="14.25" customHeight="1" spans="1:9">
      <c r="A181" s="22">
        <v>43981</v>
      </c>
      <c r="B181" s="23" t="s">
        <v>15</v>
      </c>
      <c r="C181" s="23">
        <v>453123</v>
      </c>
      <c r="D181" s="23">
        <v>46370904</v>
      </c>
      <c r="E181" s="24">
        <f>VLOOKUP(B181,Лист2!$B:$E,2,FALSE)</f>
        <v>125</v>
      </c>
      <c r="F181" s="24">
        <f>VLOOKUP(B181,Лист2!$B:$E,3,FALSE)</f>
        <v>20914</v>
      </c>
      <c r="G181" s="24">
        <f>VLOOKUP(B181,Лист2!$B:$E,4,FALSE)</f>
        <v>19479</v>
      </c>
      <c r="H181" s="25">
        <f t="shared" si="4"/>
        <v>370967.232</v>
      </c>
      <c r="I181" s="29">
        <f t="shared" si="5"/>
        <v>22</v>
      </c>
    </row>
    <row r="182" ht="14.25" customHeight="1" spans="1:9">
      <c r="A182" s="18">
        <v>43957</v>
      </c>
      <c r="B182" s="19" t="s">
        <v>16</v>
      </c>
      <c r="C182" s="19">
        <v>63012</v>
      </c>
      <c r="D182" s="19">
        <v>5454121.5</v>
      </c>
      <c r="E182" s="20">
        <f>VLOOKUP(B182,Лист2!$B:$E,2,FALSE)</f>
        <v>36</v>
      </c>
      <c r="F182" s="20">
        <f>VLOOKUP(B182,Лист2!$B:$E,3,FALSE)</f>
        <v>4923</v>
      </c>
      <c r="G182" s="20">
        <f>VLOOKUP(B182,Лист2!$B:$E,4,FALSE)</f>
        <v>4560</v>
      </c>
      <c r="H182" s="21">
        <f t="shared" si="4"/>
        <v>151503.375</v>
      </c>
      <c r="I182" s="28">
        <f t="shared" si="5"/>
        <v>19</v>
      </c>
    </row>
    <row r="183" ht="14.25" customHeight="1" spans="1:9">
      <c r="A183" s="22">
        <v>43974</v>
      </c>
      <c r="B183" s="23" t="s">
        <v>16</v>
      </c>
      <c r="C183" s="23">
        <v>89556</v>
      </c>
      <c r="D183" s="23">
        <v>7173117</v>
      </c>
      <c r="E183" s="24">
        <f>VLOOKUP(B183,Лист2!$B:$E,2,FALSE)</f>
        <v>36</v>
      </c>
      <c r="F183" s="24">
        <f>VLOOKUP(B183,Лист2!$B:$E,3,FALSE)</f>
        <v>4923</v>
      </c>
      <c r="G183" s="24">
        <f>VLOOKUP(B183,Лист2!$B:$E,4,FALSE)</f>
        <v>4560</v>
      </c>
      <c r="H183" s="25">
        <f t="shared" si="4"/>
        <v>199253.25</v>
      </c>
      <c r="I183" s="29">
        <f t="shared" si="5"/>
        <v>21</v>
      </c>
    </row>
    <row r="184" ht="14.25" customHeight="1" spans="1:9">
      <c r="A184" s="18">
        <v>43979</v>
      </c>
      <c r="B184" s="19" t="s">
        <v>15</v>
      </c>
      <c r="C184" s="19">
        <v>364638</v>
      </c>
      <c r="D184" s="19">
        <v>37947688.5</v>
      </c>
      <c r="E184" s="20">
        <f>VLOOKUP(B184,Лист2!$B:$E,2,FALSE)</f>
        <v>125</v>
      </c>
      <c r="F184" s="20">
        <f>VLOOKUP(B184,Лист2!$B:$E,3,FALSE)</f>
        <v>20914</v>
      </c>
      <c r="G184" s="20">
        <f>VLOOKUP(B184,Лист2!$B:$E,4,FALSE)</f>
        <v>19479</v>
      </c>
      <c r="H184" s="21">
        <f t="shared" si="4"/>
        <v>303581.508</v>
      </c>
      <c r="I184" s="28">
        <f t="shared" si="5"/>
        <v>22</v>
      </c>
    </row>
    <row r="185" ht="14.25" customHeight="1" spans="1:9">
      <c r="A185" s="22">
        <v>43976</v>
      </c>
      <c r="B185" s="23" t="s">
        <v>16</v>
      </c>
      <c r="C185" s="23">
        <v>66316.5</v>
      </c>
      <c r="D185" s="23">
        <v>5704650</v>
      </c>
      <c r="E185" s="24">
        <f>VLOOKUP(B185,Лист2!$B:$E,2,FALSE)</f>
        <v>36</v>
      </c>
      <c r="F185" s="24">
        <f>VLOOKUP(B185,Лист2!$B:$E,3,FALSE)</f>
        <v>4923</v>
      </c>
      <c r="G185" s="24">
        <f>VLOOKUP(B185,Лист2!$B:$E,4,FALSE)</f>
        <v>4560</v>
      </c>
      <c r="H185" s="25">
        <f t="shared" si="4"/>
        <v>158462.5</v>
      </c>
      <c r="I185" s="29">
        <f t="shared" si="5"/>
        <v>22</v>
      </c>
    </row>
    <row r="186" ht="14.25" customHeight="1" spans="1:9">
      <c r="A186" s="18">
        <v>43951</v>
      </c>
      <c r="B186" s="19" t="s">
        <v>16</v>
      </c>
      <c r="C186" s="19">
        <v>78235.5</v>
      </c>
      <c r="D186" s="19">
        <v>6819594</v>
      </c>
      <c r="E186" s="20">
        <f>VLOOKUP(B186,Лист2!$B:$E,2,FALSE)</f>
        <v>36</v>
      </c>
      <c r="F186" s="20">
        <f>VLOOKUP(B186,Лист2!$B:$E,3,FALSE)</f>
        <v>4923</v>
      </c>
      <c r="G186" s="20">
        <f>VLOOKUP(B186,Лист2!$B:$E,4,FALSE)</f>
        <v>4560</v>
      </c>
      <c r="H186" s="21">
        <f t="shared" si="4"/>
        <v>189433.166666667</v>
      </c>
      <c r="I186" s="28">
        <f t="shared" si="5"/>
        <v>18</v>
      </c>
    </row>
    <row r="187" ht="14.25" customHeight="1" spans="1:9">
      <c r="A187" s="22">
        <v>43961</v>
      </c>
      <c r="B187" s="23" t="s">
        <v>16</v>
      </c>
      <c r="C187" s="23">
        <v>88311</v>
      </c>
      <c r="D187" s="23">
        <v>7726069.5</v>
      </c>
      <c r="E187" s="24">
        <f>VLOOKUP(B187,Лист2!$B:$E,2,FALSE)</f>
        <v>36</v>
      </c>
      <c r="F187" s="24">
        <f>VLOOKUP(B187,Лист2!$B:$E,3,FALSE)</f>
        <v>4923</v>
      </c>
      <c r="G187" s="24">
        <f>VLOOKUP(B187,Лист2!$B:$E,4,FALSE)</f>
        <v>4560</v>
      </c>
      <c r="H187" s="25">
        <f t="shared" si="4"/>
        <v>214613.041666667</v>
      </c>
      <c r="I187" s="29">
        <f t="shared" si="5"/>
        <v>19</v>
      </c>
    </row>
    <row r="188" ht="14.25" customHeight="1" spans="1:9">
      <c r="A188" s="18">
        <v>43959</v>
      </c>
      <c r="B188" s="19" t="s">
        <v>16</v>
      </c>
      <c r="C188" s="19">
        <v>61804.5</v>
      </c>
      <c r="D188" s="19">
        <v>5365708.5</v>
      </c>
      <c r="E188" s="20">
        <f>VLOOKUP(B188,Лист2!$B:$E,2,FALSE)</f>
        <v>36</v>
      </c>
      <c r="F188" s="20">
        <f>VLOOKUP(B188,Лист2!$B:$E,3,FALSE)</f>
        <v>4923</v>
      </c>
      <c r="G188" s="20">
        <f>VLOOKUP(B188,Лист2!$B:$E,4,FALSE)</f>
        <v>4560</v>
      </c>
      <c r="H188" s="21">
        <f t="shared" si="4"/>
        <v>149047.458333333</v>
      </c>
      <c r="I188" s="28">
        <f t="shared" si="5"/>
        <v>19</v>
      </c>
    </row>
    <row r="189" ht="14.25" customHeight="1" spans="1:9">
      <c r="A189" s="22">
        <v>43958</v>
      </c>
      <c r="B189" s="23" t="s">
        <v>16</v>
      </c>
      <c r="C189" s="23">
        <v>71067</v>
      </c>
      <c r="D189" s="23">
        <v>6175837.5</v>
      </c>
      <c r="E189" s="24">
        <f>VLOOKUP(B189,Лист2!$B:$E,2,FALSE)</f>
        <v>36</v>
      </c>
      <c r="F189" s="24">
        <f>VLOOKUP(B189,Лист2!$B:$E,3,FALSE)</f>
        <v>4923</v>
      </c>
      <c r="G189" s="24">
        <f>VLOOKUP(B189,Лист2!$B:$E,4,FALSE)</f>
        <v>4560</v>
      </c>
      <c r="H189" s="25">
        <f t="shared" si="4"/>
        <v>171551.041666667</v>
      </c>
      <c r="I189" s="29">
        <f t="shared" si="5"/>
        <v>19</v>
      </c>
    </row>
    <row r="190" ht="14.25" customHeight="1" spans="1:9">
      <c r="A190" s="18">
        <v>43975</v>
      </c>
      <c r="B190" s="19" t="s">
        <v>16</v>
      </c>
      <c r="C190" s="19">
        <v>74649</v>
      </c>
      <c r="D190" s="19">
        <v>6098236.5</v>
      </c>
      <c r="E190" s="20">
        <f>VLOOKUP(B190,Лист2!$B:$E,2,FALSE)</f>
        <v>36</v>
      </c>
      <c r="F190" s="20">
        <f>VLOOKUP(B190,Лист2!$B:$E,3,FALSE)</f>
        <v>4923</v>
      </c>
      <c r="G190" s="20">
        <f>VLOOKUP(B190,Лист2!$B:$E,4,FALSE)</f>
        <v>4560</v>
      </c>
      <c r="H190" s="21">
        <f t="shared" si="4"/>
        <v>169395.458333333</v>
      </c>
      <c r="I190" s="28">
        <f t="shared" si="5"/>
        <v>21</v>
      </c>
    </row>
    <row r="191" ht="14.25" customHeight="1" spans="1:9">
      <c r="A191" s="22">
        <v>43967</v>
      </c>
      <c r="B191" s="23" t="s">
        <v>17</v>
      </c>
      <c r="C191" s="23">
        <v>44560.5</v>
      </c>
      <c r="D191" s="23">
        <v>4025148</v>
      </c>
      <c r="E191" s="24">
        <f>VLOOKUP(B191,Лист2!$B:$E,2,FALSE)</f>
        <v>19</v>
      </c>
      <c r="F191" s="24">
        <f>VLOOKUP(B191,Лист2!$B:$E,3,FALSE)</f>
        <v>1846</v>
      </c>
      <c r="G191" s="24">
        <f>VLOOKUP(B191,Лист2!$B:$E,4,FALSE)</f>
        <v>1681</v>
      </c>
      <c r="H191" s="25">
        <f t="shared" si="4"/>
        <v>211849.894736842</v>
      </c>
      <c r="I191" s="29">
        <f t="shared" si="5"/>
        <v>20</v>
      </c>
    </row>
    <row r="192" ht="14.25" customHeight="1" spans="1:9">
      <c r="A192" s="18">
        <v>43970</v>
      </c>
      <c r="B192" s="19" t="s">
        <v>17</v>
      </c>
      <c r="C192" s="19">
        <v>38250</v>
      </c>
      <c r="D192" s="19">
        <v>3552937.5</v>
      </c>
      <c r="E192" s="20">
        <f>VLOOKUP(B192,Лист2!$B:$E,2,FALSE)</f>
        <v>19</v>
      </c>
      <c r="F192" s="20">
        <f>VLOOKUP(B192,Лист2!$B:$E,3,FALSE)</f>
        <v>1846</v>
      </c>
      <c r="G192" s="20">
        <f>VLOOKUP(B192,Лист2!$B:$E,4,FALSE)</f>
        <v>1681</v>
      </c>
      <c r="H192" s="21">
        <f t="shared" si="4"/>
        <v>186996.710526316</v>
      </c>
      <c r="I192" s="28">
        <f t="shared" si="5"/>
        <v>21</v>
      </c>
    </row>
    <row r="193" ht="14.25" customHeight="1" spans="1:9">
      <c r="A193" s="22">
        <v>43968</v>
      </c>
      <c r="B193" s="23" t="s">
        <v>17</v>
      </c>
      <c r="C193" s="23">
        <v>34830</v>
      </c>
      <c r="D193" s="23">
        <v>3191155.5</v>
      </c>
      <c r="E193" s="24">
        <f>VLOOKUP(B193,Лист2!$B:$E,2,FALSE)</f>
        <v>19</v>
      </c>
      <c r="F193" s="24">
        <f>VLOOKUP(B193,Лист2!$B:$E,3,FALSE)</f>
        <v>1846</v>
      </c>
      <c r="G193" s="24">
        <f>VLOOKUP(B193,Лист2!$B:$E,4,FALSE)</f>
        <v>1681</v>
      </c>
      <c r="H193" s="25">
        <f t="shared" si="4"/>
        <v>167955.552631579</v>
      </c>
      <c r="I193" s="29">
        <f t="shared" si="5"/>
        <v>20</v>
      </c>
    </row>
    <row r="194" ht="14.25" customHeight="1" spans="1:9">
      <c r="A194" s="18">
        <v>43960</v>
      </c>
      <c r="B194" s="19" t="s">
        <v>17</v>
      </c>
      <c r="C194" s="19">
        <v>32239.5</v>
      </c>
      <c r="D194" s="19">
        <v>3084892.5</v>
      </c>
      <c r="E194" s="20">
        <f>VLOOKUP(B194,Лист2!$B:$E,2,FALSE)</f>
        <v>19</v>
      </c>
      <c r="F194" s="20">
        <f>VLOOKUP(B194,Лист2!$B:$E,3,FALSE)</f>
        <v>1846</v>
      </c>
      <c r="G194" s="20">
        <f>VLOOKUP(B194,Лист2!$B:$E,4,FALSE)</f>
        <v>1681</v>
      </c>
      <c r="H194" s="21">
        <f t="shared" si="4"/>
        <v>162362.763157895</v>
      </c>
      <c r="I194" s="28">
        <f t="shared" si="5"/>
        <v>19</v>
      </c>
    </row>
    <row r="195" ht="14.25" customHeight="1" spans="1:9">
      <c r="A195" s="22">
        <v>43955</v>
      </c>
      <c r="B195" s="23" t="s">
        <v>17</v>
      </c>
      <c r="C195" s="23">
        <v>30780</v>
      </c>
      <c r="D195" s="23">
        <v>2817853.5</v>
      </c>
      <c r="E195" s="24">
        <f>VLOOKUP(B195,Лист2!$B:$E,2,FALSE)</f>
        <v>19</v>
      </c>
      <c r="F195" s="24">
        <f>VLOOKUP(B195,Лист2!$B:$E,3,FALSE)</f>
        <v>1846</v>
      </c>
      <c r="G195" s="24">
        <f>VLOOKUP(B195,Лист2!$B:$E,4,FALSE)</f>
        <v>1681</v>
      </c>
      <c r="H195" s="25">
        <f t="shared" ref="H195:H258" si="6">IF(E195=0,0,D195/E195)</f>
        <v>148308.078947368</v>
      </c>
      <c r="I195" s="29">
        <f t="shared" ref="I195:I258" si="7">WEEKNUM(A195,2)</f>
        <v>19</v>
      </c>
    </row>
    <row r="196" ht="14.25" customHeight="1" spans="1:9">
      <c r="A196" s="18">
        <v>43950</v>
      </c>
      <c r="B196" s="19" t="s">
        <v>17</v>
      </c>
      <c r="C196" s="19">
        <v>29142</v>
      </c>
      <c r="D196" s="19">
        <v>2627595</v>
      </c>
      <c r="E196" s="20">
        <f>VLOOKUP(B196,Лист2!$B:$E,2,FALSE)</f>
        <v>19</v>
      </c>
      <c r="F196" s="20">
        <f>VLOOKUP(B196,Лист2!$B:$E,3,FALSE)</f>
        <v>1846</v>
      </c>
      <c r="G196" s="20">
        <f>VLOOKUP(B196,Лист2!$B:$E,4,FALSE)</f>
        <v>1681</v>
      </c>
      <c r="H196" s="21">
        <f t="shared" si="6"/>
        <v>138294.473684211</v>
      </c>
      <c r="I196" s="28">
        <f t="shared" si="7"/>
        <v>18</v>
      </c>
    </row>
    <row r="197" ht="14.25" customHeight="1" spans="1:9">
      <c r="A197" s="22">
        <v>43953</v>
      </c>
      <c r="B197" s="23" t="s">
        <v>17</v>
      </c>
      <c r="C197" s="23">
        <v>26428.5</v>
      </c>
      <c r="D197" s="23">
        <v>2470465.5</v>
      </c>
      <c r="E197" s="24">
        <f>VLOOKUP(B197,Лист2!$B:$E,2,FALSE)</f>
        <v>19</v>
      </c>
      <c r="F197" s="24">
        <f>VLOOKUP(B197,Лист2!$B:$E,3,FALSE)</f>
        <v>1846</v>
      </c>
      <c r="G197" s="24">
        <f>VLOOKUP(B197,Лист2!$B:$E,4,FALSE)</f>
        <v>1681</v>
      </c>
      <c r="H197" s="25">
        <f t="shared" si="6"/>
        <v>130024.5</v>
      </c>
      <c r="I197" s="29">
        <f t="shared" si="7"/>
        <v>18</v>
      </c>
    </row>
    <row r="198" ht="14.25" customHeight="1" spans="1:9">
      <c r="A198" s="18">
        <v>43977</v>
      </c>
      <c r="B198" s="19" t="s">
        <v>17</v>
      </c>
      <c r="C198" s="19">
        <v>40744.5</v>
      </c>
      <c r="D198" s="19">
        <v>3700311</v>
      </c>
      <c r="E198" s="20">
        <f>VLOOKUP(B198,Лист2!$B:$E,2,FALSE)</f>
        <v>19</v>
      </c>
      <c r="F198" s="20">
        <f>VLOOKUP(B198,Лист2!$B:$E,3,FALSE)</f>
        <v>1846</v>
      </c>
      <c r="G198" s="20">
        <f>VLOOKUP(B198,Лист2!$B:$E,4,FALSE)</f>
        <v>1681</v>
      </c>
      <c r="H198" s="21">
        <f t="shared" si="6"/>
        <v>194753.210526316</v>
      </c>
      <c r="I198" s="28">
        <f t="shared" si="7"/>
        <v>22</v>
      </c>
    </row>
    <row r="199" ht="14.25" customHeight="1" spans="1:9">
      <c r="A199" s="22">
        <v>43952</v>
      </c>
      <c r="B199" s="23" t="s">
        <v>17</v>
      </c>
      <c r="C199" s="23">
        <v>46620</v>
      </c>
      <c r="D199" s="23">
        <v>4293241.5</v>
      </c>
      <c r="E199" s="24">
        <f>VLOOKUP(B199,Лист2!$B:$E,2,FALSE)</f>
        <v>19</v>
      </c>
      <c r="F199" s="24">
        <f>VLOOKUP(B199,Лист2!$B:$E,3,FALSE)</f>
        <v>1846</v>
      </c>
      <c r="G199" s="24">
        <f>VLOOKUP(B199,Лист2!$B:$E,4,FALSE)</f>
        <v>1681</v>
      </c>
      <c r="H199" s="25">
        <f t="shared" si="6"/>
        <v>225960.078947368</v>
      </c>
      <c r="I199" s="29">
        <f t="shared" si="7"/>
        <v>18</v>
      </c>
    </row>
    <row r="200" ht="14.25" customHeight="1" spans="1:9">
      <c r="A200" s="18">
        <v>43963</v>
      </c>
      <c r="B200" s="19" t="s">
        <v>17</v>
      </c>
      <c r="C200" s="19">
        <v>32419.5</v>
      </c>
      <c r="D200" s="19">
        <v>3080614.5</v>
      </c>
      <c r="E200" s="20">
        <f>VLOOKUP(B200,Лист2!$B:$E,2,FALSE)</f>
        <v>19</v>
      </c>
      <c r="F200" s="20">
        <f>VLOOKUP(B200,Лист2!$B:$E,3,FALSE)</f>
        <v>1846</v>
      </c>
      <c r="G200" s="20">
        <f>VLOOKUP(B200,Лист2!$B:$E,4,FALSE)</f>
        <v>1681</v>
      </c>
      <c r="H200" s="21">
        <f t="shared" si="6"/>
        <v>162137.605263158</v>
      </c>
      <c r="I200" s="28">
        <f t="shared" si="7"/>
        <v>20</v>
      </c>
    </row>
    <row r="201" ht="14.25" customHeight="1" spans="1:9">
      <c r="A201" s="22">
        <v>43972</v>
      </c>
      <c r="B201" s="23" t="s">
        <v>17</v>
      </c>
      <c r="C201" s="23">
        <v>40819.5</v>
      </c>
      <c r="D201" s="23">
        <v>3810394.5</v>
      </c>
      <c r="E201" s="24">
        <f>VLOOKUP(B201,Лист2!$B:$E,2,FALSE)</f>
        <v>19</v>
      </c>
      <c r="F201" s="24">
        <f>VLOOKUP(B201,Лист2!$B:$E,3,FALSE)</f>
        <v>1846</v>
      </c>
      <c r="G201" s="24">
        <f>VLOOKUP(B201,Лист2!$B:$E,4,FALSE)</f>
        <v>1681</v>
      </c>
      <c r="H201" s="25">
        <f t="shared" si="6"/>
        <v>200547.078947368</v>
      </c>
      <c r="I201" s="29">
        <f t="shared" si="7"/>
        <v>21</v>
      </c>
    </row>
    <row r="202" ht="14.25" customHeight="1" spans="1:9">
      <c r="A202" s="18">
        <v>43971</v>
      </c>
      <c r="B202" s="19" t="s">
        <v>17</v>
      </c>
      <c r="C202" s="19">
        <v>41391</v>
      </c>
      <c r="D202" s="19">
        <v>3918987</v>
      </c>
      <c r="E202" s="20">
        <f>VLOOKUP(B202,Лист2!$B:$E,2,FALSE)</f>
        <v>19</v>
      </c>
      <c r="F202" s="20">
        <f>VLOOKUP(B202,Лист2!$B:$E,3,FALSE)</f>
        <v>1846</v>
      </c>
      <c r="G202" s="20">
        <f>VLOOKUP(B202,Лист2!$B:$E,4,FALSE)</f>
        <v>1681</v>
      </c>
      <c r="H202" s="21">
        <f t="shared" si="6"/>
        <v>206262.473684211</v>
      </c>
      <c r="I202" s="28">
        <f t="shared" si="7"/>
        <v>21</v>
      </c>
    </row>
    <row r="203" ht="14.25" customHeight="1" spans="1:9">
      <c r="A203" s="22">
        <v>43956</v>
      </c>
      <c r="B203" s="23" t="s">
        <v>17</v>
      </c>
      <c r="C203" s="23">
        <v>29482.5</v>
      </c>
      <c r="D203" s="23">
        <v>2648688</v>
      </c>
      <c r="E203" s="24">
        <f>VLOOKUP(B203,Лист2!$B:$E,2,FALSE)</f>
        <v>19</v>
      </c>
      <c r="F203" s="24">
        <f>VLOOKUP(B203,Лист2!$B:$E,3,FALSE)</f>
        <v>1846</v>
      </c>
      <c r="G203" s="24">
        <f>VLOOKUP(B203,Лист2!$B:$E,4,FALSE)</f>
        <v>1681</v>
      </c>
      <c r="H203" s="25">
        <f t="shared" si="6"/>
        <v>139404.631578947</v>
      </c>
      <c r="I203" s="29">
        <f t="shared" si="7"/>
        <v>19</v>
      </c>
    </row>
    <row r="204" ht="14.25" customHeight="1" spans="1:9">
      <c r="A204" s="18">
        <v>43949</v>
      </c>
      <c r="B204" s="19" t="s">
        <v>17</v>
      </c>
      <c r="C204" s="19">
        <v>32181</v>
      </c>
      <c r="D204" s="19">
        <v>2863600.5</v>
      </c>
      <c r="E204" s="20">
        <f>VLOOKUP(B204,Лист2!$B:$E,2,FALSE)</f>
        <v>19</v>
      </c>
      <c r="F204" s="20">
        <f>VLOOKUP(B204,Лист2!$B:$E,3,FALSE)</f>
        <v>1846</v>
      </c>
      <c r="G204" s="20">
        <f>VLOOKUP(B204,Лист2!$B:$E,4,FALSE)</f>
        <v>1681</v>
      </c>
      <c r="H204" s="21">
        <f t="shared" si="6"/>
        <v>150715.815789474</v>
      </c>
      <c r="I204" s="28">
        <f t="shared" si="7"/>
        <v>18</v>
      </c>
    </row>
    <row r="205" ht="14.25" customHeight="1" spans="1:9">
      <c r="A205" s="22">
        <v>43964</v>
      </c>
      <c r="B205" s="23" t="s">
        <v>17</v>
      </c>
      <c r="C205" s="23">
        <v>35535</v>
      </c>
      <c r="D205" s="23">
        <v>3288069</v>
      </c>
      <c r="E205" s="24">
        <f>VLOOKUP(B205,Лист2!$B:$E,2,FALSE)</f>
        <v>19</v>
      </c>
      <c r="F205" s="24">
        <f>VLOOKUP(B205,Лист2!$B:$E,3,FALSE)</f>
        <v>1846</v>
      </c>
      <c r="G205" s="24">
        <f>VLOOKUP(B205,Лист2!$B:$E,4,FALSE)</f>
        <v>1681</v>
      </c>
      <c r="H205" s="25">
        <f t="shared" si="6"/>
        <v>173056.263157895</v>
      </c>
      <c r="I205" s="29">
        <f t="shared" si="7"/>
        <v>20</v>
      </c>
    </row>
    <row r="206" ht="14.25" customHeight="1" spans="1:9">
      <c r="A206" s="18">
        <v>43982</v>
      </c>
      <c r="B206" s="19" t="s">
        <v>16</v>
      </c>
      <c r="C206" s="19">
        <v>76234.5</v>
      </c>
      <c r="D206" s="19">
        <v>6500848.5</v>
      </c>
      <c r="E206" s="20">
        <f>VLOOKUP(B206,Лист2!$B:$E,2,FALSE)</f>
        <v>36</v>
      </c>
      <c r="F206" s="20">
        <f>VLOOKUP(B206,Лист2!$B:$E,3,FALSE)</f>
        <v>4923</v>
      </c>
      <c r="G206" s="20">
        <f>VLOOKUP(B206,Лист2!$B:$E,4,FALSE)</f>
        <v>4560</v>
      </c>
      <c r="H206" s="21">
        <f t="shared" si="6"/>
        <v>180579.125</v>
      </c>
      <c r="I206" s="28">
        <f t="shared" si="7"/>
        <v>22</v>
      </c>
    </row>
    <row r="207" ht="14.25" customHeight="1" spans="1:9">
      <c r="A207" s="22">
        <v>43954</v>
      </c>
      <c r="B207" s="23" t="s">
        <v>17</v>
      </c>
      <c r="C207" s="23">
        <v>29935.5</v>
      </c>
      <c r="D207" s="23">
        <v>2720002.5</v>
      </c>
      <c r="E207" s="24">
        <f>VLOOKUP(B207,Лист2!$B:$E,2,FALSE)</f>
        <v>19</v>
      </c>
      <c r="F207" s="24">
        <f>VLOOKUP(B207,Лист2!$B:$E,3,FALSE)</f>
        <v>1846</v>
      </c>
      <c r="G207" s="24">
        <f>VLOOKUP(B207,Лист2!$B:$E,4,FALSE)</f>
        <v>1681</v>
      </c>
      <c r="H207" s="25">
        <f t="shared" si="6"/>
        <v>143158.026315789</v>
      </c>
      <c r="I207" s="29">
        <f t="shared" si="7"/>
        <v>18</v>
      </c>
    </row>
    <row r="208" ht="14.25" customHeight="1" spans="1:9">
      <c r="A208" s="18">
        <v>43981</v>
      </c>
      <c r="B208" s="19" t="s">
        <v>16</v>
      </c>
      <c r="C208" s="19">
        <v>106926</v>
      </c>
      <c r="D208" s="19">
        <v>9098386.5</v>
      </c>
      <c r="E208" s="20">
        <f>VLOOKUP(B208,Лист2!$B:$E,2,FALSE)</f>
        <v>36</v>
      </c>
      <c r="F208" s="20">
        <f>VLOOKUP(B208,Лист2!$B:$E,3,FALSE)</f>
        <v>4923</v>
      </c>
      <c r="G208" s="20">
        <f>VLOOKUP(B208,Лист2!$B:$E,4,FALSE)</f>
        <v>4560</v>
      </c>
      <c r="H208" s="21">
        <f t="shared" si="6"/>
        <v>252732.958333333</v>
      </c>
      <c r="I208" s="28">
        <f t="shared" si="7"/>
        <v>22</v>
      </c>
    </row>
    <row r="209" ht="14.25" customHeight="1" spans="1:9">
      <c r="A209" s="22">
        <v>43957</v>
      </c>
      <c r="B209" s="23" t="s">
        <v>17</v>
      </c>
      <c r="C209" s="23">
        <v>30342</v>
      </c>
      <c r="D209" s="23">
        <v>2738127</v>
      </c>
      <c r="E209" s="24">
        <f>VLOOKUP(B209,Лист2!$B:$E,2,FALSE)</f>
        <v>19</v>
      </c>
      <c r="F209" s="24">
        <f>VLOOKUP(B209,Лист2!$B:$E,3,FALSE)</f>
        <v>1846</v>
      </c>
      <c r="G209" s="24">
        <f>VLOOKUP(B209,Лист2!$B:$E,4,FALSE)</f>
        <v>1681</v>
      </c>
      <c r="H209" s="25">
        <f t="shared" si="6"/>
        <v>144111.947368421</v>
      </c>
      <c r="I209" s="29">
        <f t="shared" si="7"/>
        <v>19</v>
      </c>
    </row>
    <row r="210" ht="14.25" customHeight="1" spans="1:9">
      <c r="A210" s="18">
        <v>43974</v>
      </c>
      <c r="B210" s="19" t="s">
        <v>17</v>
      </c>
      <c r="C210" s="19">
        <v>42999</v>
      </c>
      <c r="D210" s="19">
        <v>3883215</v>
      </c>
      <c r="E210" s="20">
        <f>VLOOKUP(B210,Лист2!$B:$E,2,FALSE)</f>
        <v>19</v>
      </c>
      <c r="F210" s="20">
        <f>VLOOKUP(B210,Лист2!$B:$E,3,FALSE)</f>
        <v>1846</v>
      </c>
      <c r="G210" s="20">
        <f>VLOOKUP(B210,Лист2!$B:$E,4,FALSE)</f>
        <v>1681</v>
      </c>
      <c r="H210" s="21">
        <f t="shared" si="6"/>
        <v>204379.736842105</v>
      </c>
      <c r="I210" s="28">
        <f t="shared" si="7"/>
        <v>21</v>
      </c>
    </row>
    <row r="211" ht="14.25" customHeight="1" spans="1:9">
      <c r="A211" s="22">
        <v>43979</v>
      </c>
      <c r="B211" s="23" t="s">
        <v>16</v>
      </c>
      <c r="C211" s="23">
        <v>69945</v>
      </c>
      <c r="D211" s="23">
        <v>6101931</v>
      </c>
      <c r="E211" s="24">
        <f>VLOOKUP(B211,Лист2!$B:$E,2,FALSE)</f>
        <v>36</v>
      </c>
      <c r="F211" s="24">
        <f>VLOOKUP(B211,Лист2!$B:$E,3,FALSE)</f>
        <v>4923</v>
      </c>
      <c r="G211" s="24">
        <f>VLOOKUP(B211,Лист2!$B:$E,4,FALSE)</f>
        <v>4560</v>
      </c>
      <c r="H211" s="25">
        <f t="shared" si="6"/>
        <v>169498.083333333</v>
      </c>
      <c r="I211" s="29">
        <f t="shared" si="7"/>
        <v>22</v>
      </c>
    </row>
    <row r="212" ht="14.25" customHeight="1" spans="1:9">
      <c r="A212" s="18">
        <v>43976</v>
      </c>
      <c r="B212" s="19" t="s">
        <v>17</v>
      </c>
      <c r="C212" s="19">
        <v>38740.5</v>
      </c>
      <c r="D212" s="19">
        <v>3561655.5</v>
      </c>
      <c r="E212" s="20">
        <f>VLOOKUP(B212,Лист2!$B:$E,2,FALSE)</f>
        <v>19</v>
      </c>
      <c r="F212" s="20">
        <f>VLOOKUP(B212,Лист2!$B:$E,3,FALSE)</f>
        <v>1846</v>
      </c>
      <c r="G212" s="20">
        <f>VLOOKUP(B212,Лист2!$B:$E,4,FALSE)</f>
        <v>1681</v>
      </c>
      <c r="H212" s="21">
        <f t="shared" si="6"/>
        <v>187455.552631579</v>
      </c>
      <c r="I212" s="28">
        <f t="shared" si="7"/>
        <v>22</v>
      </c>
    </row>
    <row r="213" ht="14.25" customHeight="1" spans="1:9">
      <c r="A213" s="22">
        <v>43951</v>
      </c>
      <c r="B213" s="23" t="s">
        <v>17</v>
      </c>
      <c r="C213" s="23">
        <v>31231.5</v>
      </c>
      <c r="D213" s="23">
        <v>2853310.5</v>
      </c>
      <c r="E213" s="24">
        <f>VLOOKUP(B213,Лист2!$B:$E,2,FALSE)</f>
        <v>19</v>
      </c>
      <c r="F213" s="24">
        <f>VLOOKUP(B213,Лист2!$B:$E,3,FALSE)</f>
        <v>1846</v>
      </c>
      <c r="G213" s="24">
        <f>VLOOKUP(B213,Лист2!$B:$E,4,FALSE)</f>
        <v>1681</v>
      </c>
      <c r="H213" s="25">
        <f t="shared" si="6"/>
        <v>150174.236842105</v>
      </c>
      <c r="I213" s="29">
        <f t="shared" si="7"/>
        <v>18</v>
      </c>
    </row>
    <row r="214" ht="14.25" customHeight="1" spans="1:9">
      <c r="A214" s="18">
        <v>43961</v>
      </c>
      <c r="B214" s="19" t="s">
        <v>17</v>
      </c>
      <c r="C214" s="19">
        <v>37489.5</v>
      </c>
      <c r="D214" s="19">
        <v>3549097.5</v>
      </c>
      <c r="E214" s="20">
        <f>VLOOKUP(B214,Лист2!$B:$E,2,FALSE)</f>
        <v>19</v>
      </c>
      <c r="F214" s="20">
        <f>VLOOKUP(B214,Лист2!$B:$E,3,FALSE)</f>
        <v>1846</v>
      </c>
      <c r="G214" s="20">
        <f>VLOOKUP(B214,Лист2!$B:$E,4,FALSE)</f>
        <v>1681</v>
      </c>
      <c r="H214" s="21">
        <f t="shared" si="6"/>
        <v>186794.605263158</v>
      </c>
      <c r="I214" s="28">
        <f t="shared" si="7"/>
        <v>19</v>
      </c>
    </row>
    <row r="215" ht="14.25" customHeight="1" spans="1:9">
      <c r="A215" s="22">
        <v>43959</v>
      </c>
      <c r="B215" s="23" t="s">
        <v>17</v>
      </c>
      <c r="C215" s="23">
        <v>34399.5</v>
      </c>
      <c r="D215" s="23">
        <v>3201358.5</v>
      </c>
      <c r="E215" s="24">
        <f>VLOOKUP(B215,Лист2!$B:$E,2,FALSE)</f>
        <v>19</v>
      </c>
      <c r="F215" s="24">
        <f>VLOOKUP(B215,Лист2!$B:$E,3,FALSE)</f>
        <v>1846</v>
      </c>
      <c r="G215" s="24">
        <f>VLOOKUP(B215,Лист2!$B:$E,4,FALSE)</f>
        <v>1681</v>
      </c>
      <c r="H215" s="25">
        <f t="shared" si="6"/>
        <v>168492.552631579</v>
      </c>
      <c r="I215" s="29">
        <f t="shared" si="7"/>
        <v>19</v>
      </c>
    </row>
    <row r="216" ht="14.25" customHeight="1" spans="1:9">
      <c r="A216" s="18">
        <v>43958</v>
      </c>
      <c r="B216" s="19" t="s">
        <v>17</v>
      </c>
      <c r="C216" s="19">
        <v>32851.5</v>
      </c>
      <c r="D216" s="19">
        <v>2934504</v>
      </c>
      <c r="E216" s="20">
        <f>VLOOKUP(B216,Лист2!$B:$E,2,FALSE)</f>
        <v>19</v>
      </c>
      <c r="F216" s="20">
        <f>VLOOKUP(B216,Лист2!$B:$E,3,FALSE)</f>
        <v>1846</v>
      </c>
      <c r="G216" s="20">
        <f>VLOOKUP(B216,Лист2!$B:$E,4,FALSE)</f>
        <v>1681</v>
      </c>
      <c r="H216" s="21">
        <f t="shared" si="6"/>
        <v>154447.578947368</v>
      </c>
      <c r="I216" s="28">
        <f t="shared" si="7"/>
        <v>19</v>
      </c>
    </row>
    <row r="217" ht="14.25" customHeight="1" spans="1:9">
      <c r="A217" s="22">
        <v>43975</v>
      </c>
      <c r="B217" s="23" t="s">
        <v>17</v>
      </c>
      <c r="C217" s="23">
        <v>38194.5</v>
      </c>
      <c r="D217" s="23">
        <v>3449302.5</v>
      </c>
      <c r="E217" s="24">
        <f>VLOOKUP(B217,Лист2!$B:$E,2,FALSE)</f>
        <v>19</v>
      </c>
      <c r="F217" s="24">
        <f>VLOOKUP(B217,Лист2!$B:$E,3,FALSE)</f>
        <v>1846</v>
      </c>
      <c r="G217" s="24">
        <f>VLOOKUP(B217,Лист2!$B:$E,4,FALSE)</f>
        <v>1681</v>
      </c>
      <c r="H217" s="25">
        <f t="shared" si="6"/>
        <v>181542.236842105</v>
      </c>
      <c r="I217" s="29">
        <f t="shared" si="7"/>
        <v>21</v>
      </c>
    </row>
    <row r="218" ht="14.25" customHeight="1" spans="1:9">
      <c r="A218" s="18">
        <v>43982</v>
      </c>
      <c r="B218" s="19" t="s">
        <v>17</v>
      </c>
      <c r="C218" s="19">
        <v>42423</v>
      </c>
      <c r="D218" s="19">
        <v>3994153.5</v>
      </c>
      <c r="E218" s="20">
        <f>VLOOKUP(B218,Лист2!$B:$E,2,FALSE)</f>
        <v>19</v>
      </c>
      <c r="F218" s="20">
        <f>VLOOKUP(B218,Лист2!$B:$E,3,FALSE)</f>
        <v>1846</v>
      </c>
      <c r="G218" s="20">
        <f>VLOOKUP(B218,Лист2!$B:$E,4,FALSE)</f>
        <v>1681</v>
      </c>
      <c r="H218" s="21">
        <f t="shared" si="6"/>
        <v>210218.605263158</v>
      </c>
      <c r="I218" s="28">
        <f t="shared" si="7"/>
        <v>22</v>
      </c>
    </row>
    <row r="219" ht="14.25" customHeight="1" spans="1:9">
      <c r="A219" s="22">
        <v>43981</v>
      </c>
      <c r="B219" s="23" t="s">
        <v>17</v>
      </c>
      <c r="C219" s="23">
        <v>48286.5</v>
      </c>
      <c r="D219" s="23">
        <v>4456441.5</v>
      </c>
      <c r="E219" s="24">
        <f>VLOOKUP(B219,Лист2!$B:$E,2,FALSE)</f>
        <v>19</v>
      </c>
      <c r="F219" s="24">
        <f>VLOOKUP(B219,Лист2!$B:$E,3,FALSE)</f>
        <v>1846</v>
      </c>
      <c r="G219" s="24">
        <f>VLOOKUP(B219,Лист2!$B:$E,4,FALSE)</f>
        <v>1681</v>
      </c>
      <c r="H219" s="25">
        <f t="shared" si="6"/>
        <v>234549.552631579</v>
      </c>
      <c r="I219" s="29">
        <f t="shared" si="7"/>
        <v>22</v>
      </c>
    </row>
    <row r="220" ht="14.25" customHeight="1" spans="1:9">
      <c r="A220" s="18">
        <v>43979</v>
      </c>
      <c r="B220" s="19" t="s">
        <v>17</v>
      </c>
      <c r="C220" s="19">
        <v>41442</v>
      </c>
      <c r="D220" s="19">
        <v>3893680.5</v>
      </c>
      <c r="E220" s="20">
        <f>VLOOKUP(B220,Лист2!$B:$E,2,FALSE)</f>
        <v>19</v>
      </c>
      <c r="F220" s="20">
        <f>VLOOKUP(B220,Лист2!$B:$E,3,FALSE)</f>
        <v>1846</v>
      </c>
      <c r="G220" s="20">
        <f>VLOOKUP(B220,Лист2!$B:$E,4,FALSE)</f>
        <v>1681</v>
      </c>
      <c r="H220" s="21">
        <f t="shared" si="6"/>
        <v>204930.552631579</v>
      </c>
      <c r="I220" s="28">
        <f t="shared" si="7"/>
        <v>22</v>
      </c>
    </row>
    <row r="221" ht="14.25" customHeight="1" spans="1:9">
      <c r="A221" s="22">
        <v>43967</v>
      </c>
      <c r="B221" s="23" t="s">
        <v>18</v>
      </c>
      <c r="C221" s="23">
        <v>18600</v>
      </c>
      <c r="D221" s="23">
        <v>1601425.5</v>
      </c>
      <c r="E221" s="24">
        <f>VLOOKUP(B221,Лист2!$B:$E,2,FALSE)</f>
        <v>15</v>
      </c>
      <c r="F221" s="24">
        <f>VLOOKUP(B221,Лист2!$B:$E,3,FALSE)</f>
        <v>780</v>
      </c>
      <c r="G221" s="24">
        <f>VLOOKUP(B221,Лист2!$B:$E,4,FALSE)</f>
        <v>690</v>
      </c>
      <c r="H221" s="25">
        <f t="shared" si="6"/>
        <v>106761.7</v>
      </c>
      <c r="I221" s="29">
        <f t="shared" si="7"/>
        <v>20</v>
      </c>
    </row>
    <row r="222" ht="14.25" customHeight="1" spans="1:9">
      <c r="A222" s="18">
        <v>43970</v>
      </c>
      <c r="B222" s="19" t="s">
        <v>18</v>
      </c>
      <c r="C222" s="19">
        <v>16638</v>
      </c>
      <c r="D222" s="19">
        <v>1364847</v>
      </c>
      <c r="E222" s="20">
        <f>VLOOKUP(B222,Лист2!$B:$E,2,FALSE)</f>
        <v>15</v>
      </c>
      <c r="F222" s="20">
        <f>VLOOKUP(B222,Лист2!$B:$E,3,FALSE)</f>
        <v>780</v>
      </c>
      <c r="G222" s="20">
        <f>VLOOKUP(B222,Лист2!$B:$E,4,FALSE)</f>
        <v>690</v>
      </c>
      <c r="H222" s="21">
        <f t="shared" si="6"/>
        <v>90989.8</v>
      </c>
      <c r="I222" s="28">
        <f t="shared" si="7"/>
        <v>21</v>
      </c>
    </row>
    <row r="223" ht="14.25" customHeight="1" spans="1:9">
      <c r="A223" s="22">
        <v>43968</v>
      </c>
      <c r="B223" s="23" t="s">
        <v>18</v>
      </c>
      <c r="C223" s="23">
        <v>15609</v>
      </c>
      <c r="D223" s="23">
        <v>1377577.5</v>
      </c>
      <c r="E223" s="24">
        <f>VLOOKUP(B223,Лист2!$B:$E,2,FALSE)</f>
        <v>15</v>
      </c>
      <c r="F223" s="24">
        <f>VLOOKUP(B223,Лист2!$B:$E,3,FALSE)</f>
        <v>780</v>
      </c>
      <c r="G223" s="24">
        <f>VLOOKUP(B223,Лист2!$B:$E,4,FALSE)</f>
        <v>690</v>
      </c>
      <c r="H223" s="25">
        <f t="shared" si="6"/>
        <v>91838.5</v>
      </c>
      <c r="I223" s="29">
        <f t="shared" si="7"/>
        <v>20</v>
      </c>
    </row>
    <row r="224" ht="14.25" customHeight="1" spans="1:9">
      <c r="A224" s="18">
        <v>43960</v>
      </c>
      <c r="B224" s="19" t="s">
        <v>18</v>
      </c>
      <c r="C224" s="19">
        <v>13948.5</v>
      </c>
      <c r="D224" s="19">
        <v>1222932</v>
      </c>
      <c r="E224" s="20">
        <f>VLOOKUP(B224,Лист2!$B:$E,2,FALSE)</f>
        <v>15</v>
      </c>
      <c r="F224" s="20">
        <f>VLOOKUP(B224,Лист2!$B:$E,3,FALSE)</f>
        <v>780</v>
      </c>
      <c r="G224" s="20">
        <f>VLOOKUP(B224,Лист2!$B:$E,4,FALSE)</f>
        <v>690</v>
      </c>
      <c r="H224" s="21">
        <f t="shared" si="6"/>
        <v>81528.8</v>
      </c>
      <c r="I224" s="28">
        <f t="shared" si="7"/>
        <v>19</v>
      </c>
    </row>
    <row r="225" ht="14.25" customHeight="1" spans="1:9">
      <c r="A225" s="22">
        <v>43955</v>
      </c>
      <c r="B225" s="23" t="s">
        <v>18</v>
      </c>
      <c r="C225" s="23">
        <v>12301.5</v>
      </c>
      <c r="D225" s="23">
        <v>1085211</v>
      </c>
      <c r="E225" s="24">
        <f>VLOOKUP(B225,Лист2!$B:$E,2,FALSE)</f>
        <v>15</v>
      </c>
      <c r="F225" s="24">
        <f>VLOOKUP(B225,Лист2!$B:$E,3,FALSE)</f>
        <v>780</v>
      </c>
      <c r="G225" s="24">
        <f>VLOOKUP(B225,Лист2!$B:$E,4,FALSE)</f>
        <v>690</v>
      </c>
      <c r="H225" s="25">
        <f t="shared" si="6"/>
        <v>72347.4</v>
      </c>
      <c r="I225" s="29">
        <f t="shared" si="7"/>
        <v>19</v>
      </c>
    </row>
    <row r="226" ht="14.25" customHeight="1" spans="1:9">
      <c r="A226" s="18">
        <v>43950</v>
      </c>
      <c r="B226" s="19" t="s">
        <v>18</v>
      </c>
      <c r="C226" s="19">
        <v>13014</v>
      </c>
      <c r="D226" s="19">
        <v>1115992.5</v>
      </c>
      <c r="E226" s="20">
        <f>VLOOKUP(B226,Лист2!$B:$E,2,FALSE)</f>
        <v>15</v>
      </c>
      <c r="F226" s="20">
        <f>VLOOKUP(B226,Лист2!$B:$E,3,FALSE)</f>
        <v>780</v>
      </c>
      <c r="G226" s="20">
        <f>VLOOKUP(B226,Лист2!$B:$E,4,FALSE)</f>
        <v>690</v>
      </c>
      <c r="H226" s="21">
        <f t="shared" si="6"/>
        <v>74399.5</v>
      </c>
      <c r="I226" s="28">
        <f t="shared" si="7"/>
        <v>18</v>
      </c>
    </row>
    <row r="227" ht="14.25" customHeight="1" spans="1:9">
      <c r="A227" s="22">
        <v>43953</v>
      </c>
      <c r="B227" s="23" t="s">
        <v>18</v>
      </c>
      <c r="C227" s="23">
        <v>12313.5</v>
      </c>
      <c r="D227" s="23">
        <v>1053220.5</v>
      </c>
      <c r="E227" s="24">
        <f>VLOOKUP(B227,Лист2!$B:$E,2,FALSE)</f>
        <v>15</v>
      </c>
      <c r="F227" s="24">
        <f>VLOOKUP(B227,Лист2!$B:$E,3,FALSE)</f>
        <v>780</v>
      </c>
      <c r="G227" s="24">
        <f>VLOOKUP(B227,Лист2!$B:$E,4,FALSE)</f>
        <v>690</v>
      </c>
      <c r="H227" s="25">
        <f t="shared" si="6"/>
        <v>70214.7</v>
      </c>
      <c r="I227" s="29">
        <f t="shared" si="7"/>
        <v>18</v>
      </c>
    </row>
    <row r="228" ht="14.25" customHeight="1" spans="1:9">
      <c r="A228" s="18">
        <v>43977</v>
      </c>
      <c r="B228" s="19" t="s">
        <v>18</v>
      </c>
      <c r="C228" s="19">
        <v>17391</v>
      </c>
      <c r="D228" s="19">
        <v>1489132.5</v>
      </c>
      <c r="E228" s="20">
        <f>VLOOKUP(B228,Лист2!$B:$E,2,FALSE)</f>
        <v>15</v>
      </c>
      <c r="F228" s="20">
        <f>VLOOKUP(B228,Лист2!$B:$E,3,FALSE)</f>
        <v>780</v>
      </c>
      <c r="G228" s="20">
        <f>VLOOKUP(B228,Лист2!$B:$E,4,FALSE)</f>
        <v>690</v>
      </c>
      <c r="H228" s="21">
        <f t="shared" si="6"/>
        <v>99275.5</v>
      </c>
      <c r="I228" s="28">
        <f t="shared" si="7"/>
        <v>22</v>
      </c>
    </row>
    <row r="229" ht="14.25" customHeight="1" spans="1:9">
      <c r="A229" s="22">
        <v>43952</v>
      </c>
      <c r="B229" s="23" t="s">
        <v>18</v>
      </c>
      <c r="C229" s="23">
        <v>17113.5</v>
      </c>
      <c r="D229" s="23">
        <v>1465842</v>
      </c>
      <c r="E229" s="24">
        <f>VLOOKUP(B229,Лист2!$B:$E,2,FALSE)</f>
        <v>15</v>
      </c>
      <c r="F229" s="24">
        <f>VLOOKUP(B229,Лист2!$B:$E,3,FALSE)</f>
        <v>780</v>
      </c>
      <c r="G229" s="24">
        <f>VLOOKUP(B229,Лист2!$B:$E,4,FALSE)</f>
        <v>690</v>
      </c>
      <c r="H229" s="25">
        <f t="shared" si="6"/>
        <v>97722.8</v>
      </c>
      <c r="I229" s="29">
        <f t="shared" si="7"/>
        <v>18</v>
      </c>
    </row>
    <row r="230" ht="14.25" customHeight="1" spans="1:9">
      <c r="A230" s="18">
        <v>43963</v>
      </c>
      <c r="B230" s="19" t="s">
        <v>18</v>
      </c>
      <c r="C230" s="19">
        <v>12802.5</v>
      </c>
      <c r="D230" s="19">
        <v>1123830</v>
      </c>
      <c r="E230" s="20">
        <f>VLOOKUP(B230,Лист2!$B:$E,2,FALSE)</f>
        <v>15</v>
      </c>
      <c r="F230" s="20">
        <f>VLOOKUP(B230,Лист2!$B:$E,3,FALSE)</f>
        <v>780</v>
      </c>
      <c r="G230" s="20">
        <f>VLOOKUP(B230,Лист2!$B:$E,4,FALSE)</f>
        <v>690</v>
      </c>
      <c r="H230" s="21">
        <f t="shared" si="6"/>
        <v>74922</v>
      </c>
      <c r="I230" s="28">
        <f t="shared" si="7"/>
        <v>20</v>
      </c>
    </row>
    <row r="231" ht="14.25" customHeight="1" spans="1:9">
      <c r="A231" s="22">
        <v>43972</v>
      </c>
      <c r="B231" s="23" t="s">
        <v>18</v>
      </c>
      <c r="C231" s="23">
        <v>16554</v>
      </c>
      <c r="D231" s="23">
        <v>1380751.5</v>
      </c>
      <c r="E231" s="24">
        <f>VLOOKUP(B231,Лист2!$B:$E,2,FALSE)</f>
        <v>15</v>
      </c>
      <c r="F231" s="24">
        <f>VLOOKUP(B231,Лист2!$B:$E,3,FALSE)</f>
        <v>780</v>
      </c>
      <c r="G231" s="24">
        <f>VLOOKUP(B231,Лист2!$B:$E,4,FALSE)</f>
        <v>690</v>
      </c>
      <c r="H231" s="25">
        <f t="shared" si="6"/>
        <v>92050.1</v>
      </c>
      <c r="I231" s="29">
        <f t="shared" si="7"/>
        <v>21</v>
      </c>
    </row>
    <row r="232" ht="14.25" customHeight="1" spans="1:9">
      <c r="A232" s="18">
        <v>43971</v>
      </c>
      <c r="B232" s="19" t="s">
        <v>18</v>
      </c>
      <c r="C232" s="19">
        <v>17329.5</v>
      </c>
      <c r="D232" s="19">
        <v>1430254.5</v>
      </c>
      <c r="E232" s="20">
        <f>VLOOKUP(B232,Лист2!$B:$E,2,FALSE)</f>
        <v>15</v>
      </c>
      <c r="F232" s="20">
        <f>VLOOKUP(B232,Лист2!$B:$E,3,FALSE)</f>
        <v>780</v>
      </c>
      <c r="G232" s="20">
        <f>VLOOKUP(B232,Лист2!$B:$E,4,FALSE)</f>
        <v>690</v>
      </c>
      <c r="H232" s="21">
        <f t="shared" si="6"/>
        <v>95350.3</v>
      </c>
      <c r="I232" s="28">
        <f t="shared" si="7"/>
        <v>21</v>
      </c>
    </row>
    <row r="233" ht="14.25" customHeight="1" spans="1:9">
      <c r="A233" s="22">
        <v>43956</v>
      </c>
      <c r="B233" s="23" t="s">
        <v>18</v>
      </c>
      <c r="C233" s="23">
        <v>15987</v>
      </c>
      <c r="D233" s="23">
        <v>1384179</v>
      </c>
      <c r="E233" s="24">
        <f>VLOOKUP(B233,Лист2!$B:$E,2,FALSE)</f>
        <v>15</v>
      </c>
      <c r="F233" s="24">
        <f>VLOOKUP(B233,Лист2!$B:$E,3,FALSE)</f>
        <v>780</v>
      </c>
      <c r="G233" s="24">
        <f>VLOOKUP(B233,Лист2!$B:$E,4,FALSE)</f>
        <v>690</v>
      </c>
      <c r="H233" s="25">
        <f t="shared" si="6"/>
        <v>92278.6</v>
      </c>
      <c r="I233" s="29">
        <f t="shared" si="7"/>
        <v>19</v>
      </c>
    </row>
    <row r="234" ht="14.25" customHeight="1" spans="1:9">
      <c r="A234" s="18">
        <v>43949</v>
      </c>
      <c r="B234" s="19" t="s">
        <v>18</v>
      </c>
      <c r="C234" s="19">
        <v>13303.5</v>
      </c>
      <c r="D234" s="19">
        <v>1102887</v>
      </c>
      <c r="E234" s="20">
        <f>VLOOKUP(B234,Лист2!$B:$E,2,FALSE)</f>
        <v>15</v>
      </c>
      <c r="F234" s="20">
        <f>VLOOKUP(B234,Лист2!$B:$E,3,FALSE)</f>
        <v>780</v>
      </c>
      <c r="G234" s="20">
        <f>VLOOKUP(B234,Лист2!$B:$E,4,FALSE)</f>
        <v>690</v>
      </c>
      <c r="H234" s="21">
        <f t="shared" si="6"/>
        <v>73525.8</v>
      </c>
      <c r="I234" s="28">
        <f t="shared" si="7"/>
        <v>18</v>
      </c>
    </row>
    <row r="235" ht="14.25" customHeight="1" spans="1:9">
      <c r="A235" s="22">
        <v>43964</v>
      </c>
      <c r="B235" s="23" t="s">
        <v>18</v>
      </c>
      <c r="C235" s="23">
        <v>14305.5</v>
      </c>
      <c r="D235" s="23">
        <v>1243507.5</v>
      </c>
      <c r="E235" s="24">
        <f>VLOOKUP(B235,Лист2!$B:$E,2,FALSE)</f>
        <v>15</v>
      </c>
      <c r="F235" s="24">
        <f>VLOOKUP(B235,Лист2!$B:$E,3,FALSE)</f>
        <v>780</v>
      </c>
      <c r="G235" s="24">
        <f>VLOOKUP(B235,Лист2!$B:$E,4,FALSE)</f>
        <v>690</v>
      </c>
      <c r="H235" s="25">
        <f t="shared" si="6"/>
        <v>82900.5</v>
      </c>
      <c r="I235" s="29">
        <f t="shared" si="7"/>
        <v>20</v>
      </c>
    </row>
    <row r="236" ht="14.25" customHeight="1" spans="1:9">
      <c r="A236" s="18">
        <v>43954</v>
      </c>
      <c r="B236" s="19" t="s">
        <v>18</v>
      </c>
      <c r="C236" s="19">
        <v>12924</v>
      </c>
      <c r="D236" s="19">
        <v>1120009.5</v>
      </c>
      <c r="E236" s="20">
        <f>VLOOKUP(B236,Лист2!$B:$E,2,FALSE)</f>
        <v>15</v>
      </c>
      <c r="F236" s="20">
        <f>VLOOKUP(B236,Лист2!$B:$E,3,FALSE)</f>
        <v>780</v>
      </c>
      <c r="G236" s="20">
        <f>VLOOKUP(B236,Лист2!$B:$E,4,FALSE)</f>
        <v>690</v>
      </c>
      <c r="H236" s="21">
        <f t="shared" si="6"/>
        <v>74667.3</v>
      </c>
      <c r="I236" s="28">
        <f t="shared" si="7"/>
        <v>18</v>
      </c>
    </row>
    <row r="237" ht="14.25" customHeight="1" spans="1:9">
      <c r="A237" s="22">
        <v>43957</v>
      </c>
      <c r="B237" s="23" t="s">
        <v>18</v>
      </c>
      <c r="C237" s="23">
        <v>14061</v>
      </c>
      <c r="D237" s="23">
        <v>1221057</v>
      </c>
      <c r="E237" s="24">
        <f>VLOOKUP(B237,Лист2!$B:$E,2,FALSE)</f>
        <v>15</v>
      </c>
      <c r="F237" s="24">
        <f>VLOOKUP(B237,Лист2!$B:$E,3,FALSE)</f>
        <v>780</v>
      </c>
      <c r="G237" s="24">
        <f>VLOOKUP(B237,Лист2!$B:$E,4,FALSE)</f>
        <v>690</v>
      </c>
      <c r="H237" s="25">
        <f t="shared" si="6"/>
        <v>81403.8</v>
      </c>
      <c r="I237" s="29">
        <f t="shared" si="7"/>
        <v>19</v>
      </c>
    </row>
    <row r="238" ht="14.25" customHeight="1" spans="1:9">
      <c r="A238" s="18">
        <v>43974</v>
      </c>
      <c r="B238" s="19" t="s">
        <v>18</v>
      </c>
      <c r="C238" s="19">
        <v>21958.5</v>
      </c>
      <c r="D238" s="19">
        <v>1854001.5</v>
      </c>
      <c r="E238" s="20">
        <f>VLOOKUP(B238,Лист2!$B:$E,2,FALSE)</f>
        <v>15</v>
      </c>
      <c r="F238" s="20">
        <f>VLOOKUP(B238,Лист2!$B:$E,3,FALSE)</f>
        <v>780</v>
      </c>
      <c r="G238" s="20">
        <f>VLOOKUP(B238,Лист2!$B:$E,4,FALSE)</f>
        <v>690</v>
      </c>
      <c r="H238" s="21">
        <f t="shared" si="6"/>
        <v>123600.1</v>
      </c>
      <c r="I238" s="28">
        <f t="shared" si="7"/>
        <v>21</v>
      </c>
    </row>
    <row r="239" ht="14.25" customHeight="1" spans="1:9">
      <c r="A239" s="22">
        <v>43976</v>
      </c>
      <c r="B239" s="23" t="s">
        <v>18</v>
      </c>
      <c r="C239" s="23">
        <v>17211</v>
      </c>
      <c r="D239" s="23">
        <v>1507867.5</v>
      </c>
      <c r="E239" s="24">
        <f>VLOOKUP(B239,Лист2!$B:$E,2,FALSE)</f>
        <v>15</v>
      </c>
      <c r="F239" s="24">
        <f>VLOOKUP(B239,Лист2!$B:$E,3,FALSE)</f>
        <v>780</v>
      </c>
      <c r="G239" s="24">
        <f>VLOOKUP(B239,Лист2!$B:$E,4,FALSE)</f>
        <v>690</v>
      </c>
      <c r="H239" s="25">
        <f t="shared" si="6"/>
        <v>100524.5</v>
      </c>
      <c r="I239" s="29">
        <f t="shared" si="7"/>
        <v>22</v>
      </c>
    </row>
    <row r="240" ht="14.25" customHeight="1" spans="1:9">
      <c r="A240" s="18">
        <v>43951</v>
      </c>
      <c r="B240" s="19" t="s">
        <v>18</v>
      </c>
      <c r="C240" s="19">
        <v>12753</v>
      </c>
      <c r="D240" s="19">
        <v>1103068.5</v>
      </c>
      <c r="E240" s="20">
        <f>VLOOKUP(B240,Лист2!$B:$E,2,FALSE)</f>
        <v>15</v>
      </c>
      <c r="F240" s="20">
        <f>VLOOKUP(B240,Лист2!$B:$E,3,FALSE)</f>
        <v>780</v>
      </c>
      <c r="G240" s="20">
        <f>VLOOKUP(B240,Лист2!$B:$E,4,FALSE)</f>
        <v>690</v>
      </c>
      <c r="H240" s="21">
        <f t="shared" si="6"/>
        <v>73537.9</v>
      </c>
      <c r="I240" s="28">
        <f t="shared" si="7"/>
        <v>18</v>
      </c>
    </row>
    <row r="241" ht="14.25" customHeight="1" spans="1:9">
      <c r="A241" s="22">
        <v>43961</v>
      </c>
      <c r="B241" s="23" t="s">
        <v>18</v>
      </c>
      <c r="C241" s="23">
        <v>16435.5</v>
      </c>
      <c r="D241" s="23">
        <v>1471537.5</v>
      </c>
      <c r="E241" s="24">
        <f>VLOOKUP(B241,Лист2!$B:$E,2,FALSE)</f>
        <v>15</v>
      </c>
      <c r="F241" s="24">
        <f>VLOOKUP(B241,Лист2!$B:$E,3,FALSE)</f>
        <v>780</v>
      </c>
      <c r="G241" s="24">
        <f>VLOOKUP(B241,Лист2!$B:$E,4,FALSE)</f>
        <v>690</v>
      </c>
      <c r="H241" s="25">
        <f t="shared" si="6"/>
        <v>98102.5</v>
      </c>
      <c r="I241" s="29">
        <f t="shared" si="7"/>
        <v>19</v>
      </c>
    </row>
    <row r="242" ht="14.25" customHeight="1" spans="1:9">
      <c r="A242" s="18">
        <v>43959</v>
      </c>
      <c r="B242" s="19" t="s">
        <v>18</v>
      </c>
      <c r="C242" s="19">
        <v>14494.5</v>
      </c>
      <c r="D242" s="19">
        <v>1269786</v>
      </c>
      <c r="E242" s="20">
        <f>VLOOKUP(B242,Лист2!$B:$E,2,FALSE)</f>
        <v>15</v>
      </c>
      <c r="F242" s="20">
        <f>VLOOKUP(B242,Лист2!$B:$E,3,FALSE)</f>
        <v>780</v>
      </c>
      <c r="G242" s="20">
        <f>VLOOKUP(B242,Лист2!$B:$E,4,FALSE)</f>
        <v>690</v>
      </c>
      <c r="H242" s="21">
        <f t="shared" si="6"/>
        <v>84652.4</v>
      </c>
      <c r="I242" s="28">
        <f t="shared" si="7"/>
        <v>19</v>
      </c>
    </row>
    <row r="243" ht="14.25" customHeight="1" spans="1:9">
      <c r="A243" s="22">
        <v>43958</v>
      </c>
      <c r="B243" s="23" t="s">
        <v>18</v>
      </c>
      <c r="C243" s="23">
        <v>12705</v>
      </c>
      <c r="D243" s="23">
        <v>1123894.5</v>
      </c>
      <c r="E243" s="24">
        <f>VLOOKUP(B243,Лист2!$B:$E,2,FALSE)</f>
        <v>15</v>
      </c>
      <c r="F243" s="24">
        <f>VLOOKUP(B243,Лист2!$B:$E,3,FALSE)</f>
        <v>780</v>
      </c>
      <c r="G243" s="24">
        <f>VLOOKUP(B243,Лист2!$B:$E,4,FALSE)</f>
        <v>690</v>
      </c>
      <c r="H243" s="25">
        <f t="shared" si="6"/>
        <v>74926.3</v>
      </c>
      <c r="I243" s="29">
        <f t="shared" si="7"/>
        <v>19</v>
      </c>
    </row>
    <row r="244" ht="14.25" customHeight="1" spans="1:9">
      <c r="A244" s="18">
        <v>43975</v>
      </c>
      <c r="B244" s="19" t="s">
        <v>18</v>
      </c>
      <c r="C244" s="19">
        <v>18075</v>
      </c>
      <c r="D244" s="19">
        <v>1548099</v>
      </c>
      <c r="E244" s="20">
        <f>VLOOKUP(B244,Лист2!$B:$E,2,FALSE)</f>
        <v>15</v>
      </c>
      <c r="F244" s="20">
        <f>VLOOKUP(B244,Лист2!$B:$E,3,FALSE)</f>
        <v>780</v>
      </c>
      <c r="G244" s="20">
        <f>VLOOKUP(B244,Лист2!$B:$E,4,FALSE)</f>
        <v>690</v>
      </c>
      <c r="H244" s="21">
        <f t="shared" si="6"/>
        <v>103206.6</v>
      </c>
      <c r="I244" s="28">
        <f t="shared" si="7"/>
        <v>21</v>
      </c>
    </row>
    <row r="245" ht="14.25" customHeight="1" spans="1:9">
      <c r="A245" s="22">
        <v>43967</v>
      </c>
      <c r="B245" s="23" t="s">
        <v>19</v>
      </c>
      <c r="C245" s="23">
        <v>13120.5</v>
      </c>
      <c r="D245" s="23">
        <v>1215033</v>
      </c>
      <c r="E245" s="24">
        <f>VLOOKUP(B245,Лист2!$B:$E,2,FALSE)</f>
        <v>15</v>
      </c>
      <c r="F245" s="24">
        <f>VLOOKUP(B245,Лист2!$B:$E,3,FALSE)</f>
        <v>262</v>
      </c>
      <c r="G245" s="24">
        <f>VLOOKUP(B245,Лист2!$B:$E,4,FALSE)</f>
        <v>195</v>
      </c>
      <c r="H245" s="25">
        <f t="shared" si="6"/>
        <v>81002.2</v>
      </c>
      <c r="I245" s="29">
        <f t="shared" si="7"/>
        <v>20</v>
      </c>
    </row>
    <row r="246" ht="14.25" customHeight="1" spans="1:9">
      <c r="A246" s="18">
        <v>43970</v>
      </c>
      <c r="B246" s="19" t="s">
        <v>19</v>
      </c>
      <c r="C246" s="19">
        <v>16237.5</v>
      </c>
      <c r="D246" s="19">
        <v>1403047.5</v>
      </c>
      <c r="E246" s="20">
        <f>VLOOKUP(B246,Лист2!$B:$E,2,FALSE)</f>
        <v>15</v>
      </c>
      <c r="F246" s="20">
        <f>VLOOKUP(B246,Лист2!$B:$E,3,FALSE)</f>
        <v>262</v>
      </c>
      <c r="G246" s="20">
        <f>VLOOKUP(B246,Лист2!$B:$E,4,FALSE)</f>
        <v>195</v>
      </c>
      <c r="H246" s="21">
        <f t="shared" si="6"/>
        <v>93536.5</v>
      </c>
      <c r="I246" s="28">
        <f t="shared" si="7"/>
        <v>21</v>
      </c>
    </row>
    <row r="247" ht="14.25" customHeight="1" spans="1:9">
      <c r="A247" s="22">
        <v>43968</v>
      </c>
      <c r="B247" s="23" t="s">
        <v>19</v>
      </c>
      <c r="C247" s="23">
        <v>11967</v>
      </c>
      <c r="D247" s="23">
        <v>1060489.5</v>
      </c>
      <c r="E247" s="24">
        <f>VLOOKUP(B247,Лист2!$B:$E,2,FALSE)</f>
        <v>15</v>
      </c>
      <c r="F247" s="24">
        <f>VLOOKUP(B247,Лист2!$B:$E,3,FALSE)</f>
        <v>262</v>
      </c>
      <c r="G247" s="24">
        <f>VLOOKUP(B247,Лист2!$B:$E,4,FALSE)</f>
        <v>195</v>
      </c>
      <c r="H247" s="25">
        <f t="shared" si="6"/>
        <v>70699.3</v>
      </c>
      <c r="I247" s="29">
        <f t="shared" si="7"/>
        <v>20</v>
      </c>
    </row>
    <row r="248" ht="14.25" customHeight="1" spans="1:9">
      <c r="A248" s="18">
        <v>43960</v>
      </c>
      <c r="B248" s="19" t="s">
        <v>19</v>
      </c>
      <c r="C248" s="19">
        <v>12037.5</v>
      </c>
      <c r="D248" s="19">
        <v>1081216.5</v>
      </c>
      <c r="E248" s="20">
        <f>VLOOKUP(B248,Лист2!$B:$E,2,FALSE)</f>
        <v>15</v>
      </c>
      <c r="F248" s="20">
        <f>VLOOKUP(B248,Лист2!$B:$E,3,FALSE)</f>
        <v>262</v>
      </c>
      <c r="G248" s="20">
        <f>VLOOKUP(B248,Лист2!$B:$E,4,FALSE)</f>
        <v>195</v>
      </c>
      <c r="H248" s="21">
        <f t="shared" si="6"/>
        <v>72081.1</v>
      </c>
      <c r="I248" s="28">
        <f t="shared" si="7"/>
        <v>19</v>
      </c>
    </row>
    <row r="249" ht="14.25" customHeight="1" spans="1:9">
      <c r="A249" s="22">
        <v>43955</v>
      </c>
      <c r="B249" s="23" t="s">
        <v>19</v>
      </c>
      <c r="C249" s="23">
        <v>7087.5</v>
      </c>
      <c r="D249" s="23">
        <v>610855.5</v>
      </c>
      <c r="E249" s="24">
        <f>VLOOKUP(B249,Лист2!$B:$E,2,FALSE)</f>
        <v>15</v>
      </c>
      <c r="F249" s="24">
        <f>VLOOKUP(B249,Лист2!$B:$E,3,FALSE)</f>
        <v>262</v>
      </c>
      <c r="G249" s="24">
        <f>VLOOKUP(B249,Лист2!$B:$E,4,FALSE)</f>
        <v>195</v>
      </c>
      <c r="H249" s="25">
        <f t="shared" si="6"/>
        <v>40723.7</v>
      </c>
      <c r="I249" s="29">
        <f t="shared" si="7"/>
        <v>19</v>
      </c>
    </row>
    <row r="250" ht="14.25" customHeight="1" spans="1:9">
      <c r="A250" s="18">
        <v>43950</v>
      </c>
      <c r="B250" s="19" t="s">
        <v>20</v>
      </c>
      <c r="C250" s="19">
        <v>25816.5</v>
      </c>
      <c r="D250" s="19">
        <v>2360914.5</v>
      </c>
      <c r="E250" s="20">
        <f>VLOOKUP(B250,Лист2!$B:$E,2,FALSE)</f>
        <v>18</v>
      </c>
      <c r="F250" s="20">
        <f>VLOOKUP(B250,Лист2!$B:$E,3,FALSE)</f>
        <v>1505</v>
      </c>
      <c r="G250" s="20">
        <f>VLOOKUP(B250,Лист2!$B:$E,4,FALSE)</f>
        <v>1368</v>
      </c>
      <c r="H250" s="21">
        <f t="shared" si="6"/>
        <v>131161.916666667</v>
      </c>
      <c r="I250" s="28">
        <f t="shared" si="7"/>
        <v>18</v>
      </c>
    </row>
    <row r="251" ht="14.25" customHeight="1" spans="1:9">
      <c r="A251" s="22">
        <v>43953</v>
      </c>
      <c r="B251" s="23" t="s">
        <v>19</v>
      </c>
      <c r="C251" s="23">
        <v>4624.5</v>
      </c>
      <c r="D251" s="23">
        <v>433243.5</v>
      </c>
      <c r="E251" s="24">
        <f>VLOOKUP(B251,Лист2!$B:$E,2,FALSE)</f>
        <v>15</v>
      </c>
      <c r="F251" s="24">
        <f>VLOOKUP(B251,Лист2!$B:$E,3,FALSE)</f>
        <v>262</v>
      </c>
      <c r="G251" s="24">
        <f>VLOOKUP(B251,Лист2!$B:$E,4,FALSE)</f>
        <v>195</v>
      </c>
      <c r="H251" s="25">
        <f t="shared" si="6"/>
        <v>28882.9</v>
      </c>
      <c r="I251" s="29">
        <f t="shared" si="7"/>
        <v>18</v>
      </c>
    </row>
    <row r="252" ht="14.25" customHeight="1" spans="1:9">
      <c r="A252" s="18">
        <v>43977</v>
      </c>
      <c r="B252" s="19" t="s">
        <v>19</v>
      </c>
      <c r="C252" s="19">
        <v>12259.5</v>
      </c>
      <c r="D252" s="19">
        <v>1152054</v>
      </c>
      <c r="E252" s="20">
        <f>VLOOKUP(B252,Лист2!$B:$E,2,FALSE)</f>
        <v>15</v>
      </c>
      <c r="F252" s="20">
        <f>VLOOKUP(B252,Лист2!$B:$E,3,FALSE)</f>
        <v>262</v>
      </c>
      <c r="G252" s="20">
        <f>VLOOKUP(B252,Лист2!$B:$E,4,FALSE)</f>
        <v>195</v>
      </c>
      <c r="H252" s="21">
        <f t="shared" si="6"/>
        <v>76803.6</v>
      </c>
      <c r="I252" s="28">
        <f t="shared" si="7"/>
        <v>22</v>
      </c>
    </row>
    <row r="253" ht="14.25" customHeight="1" spans="1:9">
      <c r="A253" s="22">
        <v>43952</v>
      </c>
      <c r="B253" s="23" t="s">
        <v>19</v>
      </c>
      <c r="C253" s="23">
        <v>5446.5</v>
      </c>
      <c r="D253" s="23">
        <v>505572</v>
      </c>
      <c r="E253" s="24">
        <f>VLOOKUP(B253,Лист2!$B:$E,2,FALSE)</f>
        <v>15</v>
      </c>
      <c r="F253" s="24">
        <f>VLOOKUP(B253,Лист2!$B:$E,3,FALSE)</f>
        <v>262</v>
      </c>
      <c r="G253" s="24">
        <f>VLOOKUP(B253,Лист2!$B:$E,4,FALSE)</f>
        <v>195</v>
      </c>
      <c r="H253" s="25">
        <f t="shared" si="6"/>
        <v>33704.8</v>
      </c>
      <c r="I253" s="29">
        <f t="shared" si="7"/>
        <v>18</v>
      </c>
    </row>
    <row r="254" ht="14.25" customHeight="1" spans="1:9">
      <c r="A254" s="18">
        <v>43963</v>
      </c>
      <c r="B254" s="19" t="s">
        <v>19</v>
      </c>
      <c r="C254" s="19">
        <v>11296.5</v>
      </c>
      <c r="D254" s="19">
        <v>989632.5</v>
      </c>
      <c r="E254" s="20">
        <f>VLOOKUP(B254,Лист2!$B:$E,2,FALSE)</f>
        <v>15</v>
      </c>
      <c r="F254" s="20">
        <f>VLOOKUP(B254,Лист2!$B:$E,3,FALSE)</f>
        <v>262</v>
      </c>
      <c r="G254" s="20">
        <f>VLOOKUP(B254,Лист2!$B:$E,4,FALSE)</f>
        <v>195</v>
      </c>
      <c r="H254" s="21">
        <f t="shared" si="6"/>
        <v>65975.5</v>
      </c>
      <c r="I254" s="28">
        <f t="shared" si="7"/>
        <v>20</v>
      </c>
    </row>
    <row r="255" ht="14.25" customHeight="1" spans="1:9">
      <c r="A255" s="22">
        <v>43972</v>
      </c>
      <c r="B255" s="23" t="s">
        <v>19</v>
      </c>
      <c r="C255" s="23">
        <v>12135</v>
      </c>
      <c r="D255" s="23">
        <v>1103623.5</v>
      </c>
      <c r="E255" s="24">
        <f>VLOOKUP(B255,Лист2!$B:$E,2,FALSE)</f>
        <v>15</v>
      </c>
      <c r="F255" s="24">
        <f>VLOOKUP(B255,Лист2!$B:$E,3,FALSE)</f>
        <v>262</v>
      </c>
      <c r="G255" s="24">
        <f>VLOOKUP(B255,Лист2!$B:$E,4,FALSE)</f>
        <v>195</v>
      </c>
      <c r="H255" s="25">
        <f t="shared" si="6"/>
        <v>73574.9</v>
      </c>
      <c r="I255" s="29">
        <f t="shared" si="7"/>
        <v>21</v>
      </c>
    </row>
    <row r="256" ht="14.25" customHeight="1" spans="1:9">
      <c r="A256" s="18">
        <v>43971</v>
      </c>
      <c r="B256" s="19" t="s">
        <v>19</v>
      </c>
      <c r="C256" s="19">
        <v>12630</v>
      </c>
      <c r="D256" s="19">
        <v>1104858</v>
      </c>
      <c r="E256" s="20">
        <f>VLOOKUP(B256,Лист2!$B:$E,2,FALSE)</f>
        <v>15</v>
      </c>
      <c r="F256" s="20">
        <f>VLOOKUP(B256,Лист2!$B:$E,3,FALSE)</f>
        <v>262</v>
      </c>
      <c r="G256" s="20">
        <f>VLOOKUP(B256,Лист2!$B:$E,4,FALSE)</f>
        <v>195</v>
      </c>
      <c r="H256" s="21">
        <f t="shared" si="6"/>
        <v>73657.2</v>
      </c>
      <c r="I256" s="28">
        <f t="shared" si="7"/>
        <v>21</v>
      </c>
    </row>
    <row r="257" ht="14.25" customHeight="1" spans="1:9">
      <c r="A257" s="22">
        <v>43956</v>
      </c>
      <c r="B257" s="23" t="s">
        <v>19</v>
      </c>
      <c r="C257" s="23">
        <v>8223</v>
      </c>
      <c r="D257" s="23">
        <v>694593</v>
      </c>
      <c r="E257" s="24">
        <f>VLOOKUP(B257,Лист2!$B:$E,2,FALSE)</f>
        <v>15</v>
      </c>
      <c r="F257" s="24">
        <f>VLOOKUP(B257,Лист2!$B:$E,3,FALSE)</f>
        <v>262</v>
      </c>
      <c r="G257" s="24">
        <f>VLOOKUP(B257,Лист2!$B:$E,4,FALSE)</f>
        <v>195</v>
      </c>
      <c r="H257" s="25">
        <f t="shared" si="6"/>
        <v>46306.2</v>
      </c>
      <c r="I257" s="29">
        <f t="shared" si="7"/>
        <v>19</v>
      </c>
    </row>
    <row r="258" ht="14.25" customHeight="1" spans="1:9">
      <c r="A258" s="18">
        <v>43949</v>
      </c>
      <c r="B258" s="19" t="s">
        <v>20</v>
      </c>
      <c r="C258" s="19">
        <v>25149</v>
      </c>
      <c r="D258" s="19">
        <v>2277072</v>
      </c>
      <c r="E258" s="20">
        <f>VLOOKUP(B258,Лист2!$B:$E,2,FALSE)</f>
        <v>18</v>
      </c>
      <c r="F258" s="20">
        <f>VLOOKUP(B258,Лист2!$B:$E,3,FALSE)</f>
        <v>1505</v>
      </c>
      <c r="G258" s="20">
        <f>VLOOKUP(B258,Лист2!$B:$E,4,FALSE)</f>
        <v>1368</v>
      </c>
      <c r="H258" s="21">
        <f t="shared" si="6"/>
        <v>126504</v>
      </c>
      <c r="I258" s="28">
        <f t="shared" si="7"/>
        <v>18</v>
      </c>
    </row>
    <row r="259" ht="14.25" customHeight="1" spans="1:9">
      <c r="A259" s="22">
        <v>43964</v>
      </c>
      <c r="B259" s="23" t="s">
        <v>19</v>
      </c>
      <c r="C259" s="23">
        <v>10401</v>
      </c>
      <c r="D259" s="23">
        <v>949912.5</v>
      </c>
      <c r="E259" s="24">
        <f>VLOOKUP(B259,Лист2!$B:$E,2,FALSE)</f>
        <v>15</v>
      </c>
      <c r="F259" s="24">
        <f>VLOOKUP(B259,Лист2!$B:$E,3,FALSE)</f>
        <v>262</v>
      </c>
      <c r="G259" s="24">
        <f>VLOOKUP(B259,Лист2!$B:$E,4,FALSE)</f>
        <v>195</v>
      </c>
      <c r="H259" s="25">
        <f t="shared" ref="H259:H322" si="8">IF(E259=0,0,D259/E259)</f>
        <v>63327.5</v>
      </c>
      <c r="I259" s="29">
        <f t="shared" ref="I259:I322" si="9">WEEKNUM(A259,2)</f>
        <v>20</v>
      </c>
    </row>
    <row r="260" ht="14.25" customHeight="1" spans="1:9">
      <c r="A260" s="18">
        <v>43982</v>
      </c>
      <c r="B260" s="19" t="s">
        <v>18</v>
      </c>
      <c r="C260" s="19">
        <v>17689.5</v>
      </c>
      <c r="D260" s="19">
        <v>1592119.5</v>
      </c>
      <c r="E260" s="20">
        <f>VLOOKUP(B260,Лист2!$B:$E,2,FALSE)</f>
        <v>15</v>
      </c>
      <c r="F260" s="20">
        <f>VLOOKUP(B260,Лист2!$B:$E,3,FALSE)</f>
        <v>780</v>
      </c>
      <c r="G260" s="20">
        <f>VLOOKUP(B260,Лист2!$B:$E,4,FALSE)</f>
        <v>690</v>
      </c>
      <c r="H260" s="21">
        <f t="shared" si="8"/>
        <v>106141.3</v>
      </c>
      <c r="I260" s="28">
        <f t="shared" si="9"/>
        <v>22</v>
      </c>
    </row>
    <row r="261" ht="14.25" customHeight="1" spans="1:9">
      <c r="A261" s="22">
        <v>43954</v>
      </c>
      <c r="B261" s="23" t="s">
        <v>19</v>
      </c>
      <c r="C261" s="23">
        <v>8127</v>
      </c>
      <c r="D261" s="23">
        <v>665302.5</v>
      </c>
      <c r="E261" s="24">
        <f>VLOOKUP(B261,Лист2!$B:$E,2,FALSE)</f>
        <v>15</v>
      </c>
      <c r="F261" s="24">
        <f>VLOOKUP(B261,Лист2!$B:$E,3,FALSE)</f>
        <v>262</v>
      </c>
      <c r="G261" s="24">
        <f>VLOOKUP(B261,Лист2!$B:$E,4,FALSE)</f>
        <v>195</v>
      </c>
      <c r="H261" s="25">
        <f t="shared" si="8"/>
        <v>44353.5</v>
      </c>
      <c r="I261" s="29">
        <f t="shared" si="9"/>
        <v>18</v>
      </c>
    </row>
    <row r="262" ht="14.25" customHeight="1" spans="1:9">
      <c r="A262" s="18">
        <v>43981</v>
      </c>
      <c r="B262" s="19" t="s">
        <v>18</v>
      </c>
      <c r="C262" s="19">
        <v>27250.5</v>
      </c>
      <c r="D262" s="19">
        <v>2457252</v>
      </c>
      <c r="E262" s="20">
        <f>VLOOKUP(B262,Лист2!$B:$E,2,FALSE)</f>
        <v>15</v>
      </c>
      <c r="F262" s="20">
        <f>VLOOKUP(B262,Лист2!$B:$E,3,FALSE)</f>
        <v>780</v>
      </c>
      <c r="G262" s="20">
        <f>VLOOKUP(B262,Лист2!$B:$E,4,FALSE)</f>
        <v>690</v>
      </c>
      <c r="H262" s="21">
        <f t="shared" si="8"/>
        <v>163816.8</v>
      </c>
      <c r="I262" s="28">
        <f t="shared" si="9"/>
        <v>22</v>
      </c>
    </row>
    <row r="263" ht="14.25" customHeight="1" spans="1:9">
      <c r="A263" s="22">
        <v>43957</v>
      </c>
      <c r="B263" s="23" t="s">
        <v>19</v>
      </c>
      <c r="C263" s="23">
        <v>8464.5</v>
      </c>
      <c r="D263" s="23">
        <v>739291.5</v>
      </c>
      <c r="E263" s="24">
        <f>VLOOKUP(B263,Лист2!$B:$E,2,FALSE)</f>
        <v>15</v>
      </c>
      <c r="F263" s="24">
        <f>VLOOKUP(B263,Лист2!$B:$E,3,FALSE)</f>
        <v>262</v>
      </c>
      <c r="G263" s="24">
        <f>VLOOKUP(B263,Лист2!$B:$E,4,FALSE)</f>
        <v>195</v>
      </c>
      <c r="H263" s="25">
        <f t="shared" si="8"/>
        <v>49286.1</v>
      </c>
      <c r="I263" s="29">
        <f t="shared" si="9"/>
        <v>19</v>
      </c>
    </row>
    <row r="264" ht="14.25" customHeight="1" spans="1:9">
      <c r="A264" s="18">
        <v>43974</v>
      </c>
      <c r="B264" s="19" t="s">
        <v>19</v>
      </c>
      <c r="C264" s="19">
        <v>14167.5</v>
      </c>
      <c r="D264" s="19">
        <v>1315075.5</v>
      </c>
      <c r="E264" s="20">
        <f>VLOOKUP(B264,Лист2!$B:$E,2,FALSE)</f>
        <v>15</v>
      </c>
      <c r="F264" s="20">
        <f>VLOOKUP(B264,Лист2!$B:$E,3,FALSE)</f>
        <v>262</v>
      </c>
      <c r="G264" s="20">
        <f>VLOOKUP(B264,Лист2!$B:$E,4,FALSE)</f>
        <v>195</v>
      </c>
      <c r="H264" s="21">
        <f t="shared" si="8"/>
        <v>87671.7</v>
      </c>
      <c r="I264" s="28">
        <f t="shared" si="9"/>
        <v>21</v>
      </c>
    </row>
    <row r="265" ht="14.25" customHeight="1" spans="1:9">
      <c r="A265" s="22">
        <v>43979</v>
      </c>
      <c r="B265" s="23" t="s">
        <v>18</v>
      </c>
      <c r="C265" s="23">
        <v>16500</v>
      </c>
      <c r="D265" s="23">
        <v>1487928</v>
      </c>
      <c r="E265" s="24">
        <f>VLOOKUP(B265,Лист2!$B:$E,2,FALSE)</f>
        <v>15</v>
      </c>
      <c r="F265" s="24">
        <f>VLOOKUP(B265,Лист2!$B:$E,3,FALSE)</f>
        <v>780</v>
      </c>
      <c r="G265" s="24">
        <f>VLOOKUP(B265,Лист2!$B:$E,4,FALSE)</f>
        <v>690</v>
      </c>
      <c r="H265" s="25">
        <f t="shared" si="8"/>
        <v>99195.2</v>
      </c>
      <c r="I265" s="29">
        <f t="shared" si="9"/>
        <v>22</v>
      </c>
    </row>
    <row r="266" ht="14.25" customHeight="1" spans="1:9">
      <c r="A266" s="18">
        <v>43976</v>
      </c>
      <c r="B266" s="19" t="s">
        <v>19</v>
      </c>
      <c r="C266" s="19">
        <v>13260</v>
      </c>
      <c r="D266" s="19">
        <v>1230687</v>
      </c>
      <c r="E266" s="20">
        <f>VLOOKUP(B266,Лист2!$B:$E,2,FALSE)</f>
        <v>15</v>
      </c>
      <c r="F266" s="20">
        <f>VLOOKUP(B266,Лист2!$B:$E,3,FALSE)</f>
        <v>262</v>
      </c>
      <c r="G266" s="20">
        <f>VLOOKUP(B266,Лист2!$B:$E,4,FALSE)</f>
        <v>195</v>
      </c>
      <c r="H266" s="21">
        <f t="shared" si="8"/>
        <v>82045.8</v>
      </c>
      <c r="I266" s="28">
        <f t="shared" si="9"/>
        <v>22</v>
      </c>
    </row>
    <row r="267" ht="14.25" customHeight="1" spans="1:9">
      <c r="A267" s="22">
        <v>43951</v>
      </c>
      <c r="B267" s="23" t="s">
        <v>19</v>
      </c>
      <c r="C267" s="23">
        <v>4285.5</v>
      </c>
      <c r="D267" s="23">
        <v>404691</v>
      </c>
      <c r="E267" s="24">
        <f>VLOOKUP(B267,Лист2!$B:$E,2,FALSE)</f>
        <v>15</v>
      </c>
      <c r="F267" s="24">
        <f>VLOOKUP(B267,Лист2!$B:$E,3,FALSE)</f>
        <v>262</v>
      </c>
      <c r="G267" s="24">
        <f>VLOOKUP(B267,Лист2!$B:$E,4,FALSE)</f>
        <v>195</v>
      </c>
      <c r="H267" s="25">
        <f t="shared" si="8"/>
        <v>26979.4</v>
      </c>
      <c r="I267" s="29">
        <f t="shared" si="9"/>
        <v>18</v>
      </c>
    </row>
    <row r="268" ht="14.25" customHeight="1" spans="1:9">
      <c r="A268" s="18">
        <v>43961</v>
      </c>
      <c r="B268" s="19" t="s">
        <v>19</v>
      </c>
      <c r="C268" s="19">
        <v>13440</v>
      </c>
      <c r="D268" s="19">
        <v>1198285.5</v>
      </c>
      <c r="E268" s="20">
        <f>VLOOKUP(B268,Лист2!$B:$E,2,FALSE)</f>
        <v>15</v>
      </c>
      <c r="F268" s="20">
        <f>VLOOKUP(B268,Лист2!$B:$E,3,FALSE)</f>
        <v>262</v>
      </c>
      <c r="G268" s="20">
        <f>VLOOKUP(B268,Лист2!$B:$E,4,FALSE)</f>
        <v>195</v>
      </c>
      <c r="H268" s="21">
        <f t="shared" si="8"/>
        <v>79885.7</v>
      </c>
      <c r="I268" s="28">
        <f t="shared" si="9"/>
        <v>19</v>
      </c>
    </row>
    <row r="269" ht="14.25" customHeight="1" spans="1:9">
      <c r="A269" s="22">
        <v>43959</v>
      </c>
      <c r="B269" s="23" t="s">
        <v>19</v>
      </c>
      <c r="C269" s="23">
        <v>9058.5</v>
      </c>
      <c r="D269" s="23">
        <v>798759</v>
      </c>
      <c r="E269" s="24">
        <f>VLOOKUP(B269,Лист2!$B:$E,2,FALSE)</f>
        <v>15</v>
      </c>
      <c r="F269" s="24">
        <f>VLOOKUP(B269,Лист2!$B:$E,3,FALSE)</f>
        <v>262</v>
      </c>
      <c r="G269" s="24">
        <f>VLOOKUP(B269,Лист2!$B:$E,4,FALSE)</f>
        <v>195</v>
      </c>
      <c r="H269" s="25">
        <f t="shared" si="8"/>
        <v>53250.6</v>
      </c>
      <c r="I269" s="29">
        <f t="shared" si="9"/>
        <v>19</v>
      </c>
    </row>
    <row r="270" ht="14.25" customHeight="1" spans="1:9">
      <c r="A270" s="18">
        <v>43958</v>
      </c>
      <c r="B270" s="19" t="s">
        <v>19</v>
      </c>
      <c r="C270" s="19">
        <v>8719.5</v>
      </c>
      <c r="D270" s="19">
        <v>769276.5</v>
      </c>
      <c r="E270" s="20">
        <f>VLOOKUP(B270,Лист2!$B:$E,2,FALSE)</f>
        <v>15</v>
      </c>
      <c r="F270" s="20">
        <f>VLOOKUP(B270,Лист2!$B:$E,3,FALSE)</f>
        <v>262</v>
      </c>
      <c r="G270" s="20">
        <f>VLOOKUP(B270,Лист2!$B:$E,4,FALSE)</f>
        <v>195</v>
      </c>
      <c r="H270" s="21">
        <f t="shared" si="8"/>
        <v>51285.1</v>
      </c>
      <c r="I270" s="28">
        <f t="shared" si="9"/>
        <v>19</v>
      </c>
    </row>
    <row r="271" ht="14.25" customHeight="1" spans="1:9">
      <c r="A271" s="22">
        <v>43975</v>
      </c>
      <c r="B271" s="23" t="s">
        <v>19</v>
      </c>
      <c r="C271" s="23">
        <v>12666</v>
      </c>
      <c r="D271" s="23">
        <v>1184865</v>
      </c>
      <c r="E271" s="24">
        <f>VLOOKUP(B271,Лист2!$B:$E,2,FALSE)</f>
        <v>15</v>
      </c>
      <c r="F271" s="24">
        <f>VLOOKUP(B271,Лист2!$B:$E,3,FALSE)</f>
        <v>262</v>
      </c>
      <c r="G271" s="24">
        <f>VLOOKUP(B271,Лист2!$B:$E,4,FALSE)</f>
        <v>195</v>
      </c>
      <c r="H271" s="25">
        <f t="shared" si="8"/>
        <v>78991</v>
      </c>
      <c r="I271" s="29">
        <f t="shared" si="9"/>
        <v>21</v>
      </c>
    </row>
    <row r="272" ht="14.25" customHeight="1" spans="1:9">
      <c r="A272" s="18">
        <v>43967</v>
      </c>
      <c r="B272" s="19" t="s">
        <v>20</v>
      </c>
      <c r="C272" s="19">
        <v>34563</v>
      </c>
      <c r="D272" s="19">
        <v>2922883.5</v>
      </c>
      <c r="E272" s="20">
        <f>VLOOKUP(B272,Лист2!$B:$E,2,FALSE)</f>
        <v>18</v>
      </c>
      <c r="F272" s="20">
        <f>VLOOKUP(B272,Лист2!$B:$E,3,FALSE)</f>
        <v>1505</v>
      </c>
      <c r="G272" s="20">
        <f>VLOOKUP(B272,Лист2!$B:$E,4,FALSE)</f>
        <v>1368</v>
      </c>
      <c r="H272" s="21">
        <f t="shared" si="8"/>
        <v>162382.416666667</v>
      </c>
      <c r="I272" s="28">
        <f t="shared" si="9"/>
        <v>20</v>
      </c>
    </row>
    <row r="273" ht="14.25" customHeight="1" spans="1:9">
      <c r="A273" s="22">
        <v>43970</v>
      </c>
      <c r="B273" s="23" t="s">
        <v>20</v>
      </c>
      <c r="C273" s="23">
        <v>28882.5</v>
      </c>
      <c r="D273" s="23">
        <v>2446530</v>
      </c>
      <c r="E273" s="24">
        <f>VLOOKUP(B273,Лист2!$B:$E,2,FALSE)</f>
        <v>18</v>
      </c>
      <c r="F273" s="24">
        <f>VLOOKUP(B273,Лист2!$B:$E,3,FALSE)</f>
        <v>1505</v>
      </c>
      <c r="G273" s="24">
        <f>VLOOKUP(B273,Лист2!$B:$E,4,FALSE)</f>
        <v>1368</v>
      </c>
      <c r="H273" s="25">
        <f t="shared" si="8"/>
        <v>135918.333333333</v>
      </c>
      <c r="I273" s="29">
        <f t="shared" si="9"/>
        <v>21</v>
      </c>
    </row>
    <row r="274" ht="14.25" customHeight="1" spans="1:9">
      <c r="A274" s="18">
        <v>43968</v>
      </c>
      <c r="B274" s="19" t="s">
        <v>20</v>
      </c>
      <c r="C274" s="19">
        <v>28275</v>
      </c>
      <c r="D274" s="19">
        <v>2435632.5</v>
      </c>
      <c r="E274" s="20">
        <f>VLOOKUP(B274,Лист2!$B:$E,2,FALSE)</f>
        <v>18</v>
      </c>
      <c r="F274" s="20">
        <f>VLOOKUP(B274,Лист2!$B:$E,3,FALSE)</f>
        <v>1505</v>
      </c>
      <c r="G274" s="20">
        <f>VLOOKUP(B274,Лист2!$B:$E,4,FALSE)</f>
        <v>1368</v>
      </c>
      <c r="H274" s="21">
        <f t="shared" si="8"/>
        <v>135312.916666667</v>
      </c>
      <c r="I274" s="28">
        <f t="shared" si="9"/>
        <v>20</v>
      </c>
    </row>
    <row r="275" ht="14.25" customHeight="1" spans="1:9">
      <c r="A275" s="22">
        <v>43960</v>
      </c>
      <c r="B275" s="23" t="s">
        <v>20</v>
      </c>
      <c r="C275" s="23">
        <v>26271</v>
      </c>
      <c r="D275" s="23">
        <v>2384937</v>
      </c>
      <c r="E275" s="24">
        <f>VLOOKUP(B275,Лист2!$B:$E,2,FALSE)</f>
        <v>18</v>
      </c>
      <c r="F275" s="24">
        <f>VLOOKUP(B275,Лист2!$B:$E,3,FALSE)</f>
        <v>1505</v>
      </c>
      <c r="G275" s="24">
        <f>VLOOKUP(B275,Лист2!$B:$E,4,FALSE)</f>
        <v>1368</v>
      </c>
      <c r="H275" s="25">
        <f t="shared" si="8"/>
        <v>132496.5</v>
      </c>
      <c r="I275" s="29">
        <f t="shared" si="9"/>
        <v>19</v>
      </c>
    </row>
    <row r="276" ht="14.25" customHeight="1" spans="1:9">
      <c r="A276" s="18">
        <v>43955</v>
      </c>
      <c r="B276" s="19" t="s">
        <v>20</v>
      </c>
      <c r="C276" s="19">
        <v>23587.5</v>
      </c>
      <c r="D276" s="19">
        <v>2155668</v>
      </c>
      <c r="E276" s="20">
        <f>VLOOKUP(B276,Лист2!$B:$E,2,FALSE)</f>
        <v>18</v>
      </c>
      <c r="F276" s="20">
        <f>VLOOKUP(B276,Лист2!$B:$E,3,FALSE)</f>
        <v>1505</v>
      </c>
      <c r="G276" s="20">
        <f>VLOOKUP(B276,Лист2!$B:$E,4,FALSE)</f>
        <v>1368</v>
      </c>
      <c r="H276" s="21">
        <f t="shared" si="8"/>
        <v>119759.333333333</v>
      </c>
      <c r="I276" s="28">
        <f t="shared" si="9"/>
        <v>19</v>
      </c>
    </row>
    <row r="277" ht="14.25" customHeight="1" spans="1:9">
      <c r="A277" s="22">
        <v>43953</v>
      </c>
      <c r="B277" s="23" t="s">
        <v>20</v>
      </c>
      <c r="C277" s="23">
        <v>18427.5</v>
      </c>
      <c r="D277" s="23">
        <v>1682851.5</v>
      </c>
      <c r="E277" s="24">
        <f>VLOOKUP(B277,Лист2!$B:$E,2,FALSE)</f>
        <v>18</v>
      </c>
      <c r="F277" s="24">
        <f>VLOOKUP(B277,Лист2!$B:$E,3,FALSE)</f>
        <v>1505</v>
      </c>
      <c r="G277" s="24">
        <f>VLOOKUP(B277,Лист2!$B:$E,4,FALSE)</f>
        <v>1368</v>
      </c>
      <c r="H277" s="25">
        <f t="shared" si="8"/>
        <v>93491.75</v>
      </c>
      <c r="I277" s="29">
        <f t="shared" si="9"/>
        <v>18</v>
      </c>
    </row>
    <row r="278" ht="14.25" customHeight="1" spans="1:9">
      <c r="A278" s="18">
        <v>43977</v>
      </c>
      <c r="B278" s="19" t="s">
        <v>20</v>
      </c>
      <c r="C278" s="19">
        <v>27156</v>
      </c>
      <c r="D278" s="19">
        <v>2410803</v>
      </c>
      <c r="E278" s="20">
        <f>VLOOKUP(B278,Лист2!$B:$E,2,FALSE)</f>
        <v>18</v>
      </c>
      <c r="F278" s="20">
        <f>VLOOKUP(B278,Лист2!$B:$E,3,FALSE)</f>
        <v>1505</v>
      </c>
      <c r="G278" s="20">
        <f>VLOOKUP(B278,Лист2!$B:$E,4,FALSE)</f>
        <v>1368</v>
      </c>
      <c r="H278" s="21">
        <f t="shared" si="8"/>
        <v>133933.5</v>
      </c>
      <c r="I278" s="28">
        <f t="shared" si="9"/>
        <v>22</v>
      </c>
    </row>
    <row r="279" ht="14.25" customHeight="1" spans="1:9">
      <c r="A279" s="22">
        <v>43952</v>
      </c>
      <c r="B279" s="23" t="s">
        <v>20</v>
      </c>
      <c r="C279" s="23">
        <v>35190</v>
      </c>
      <c r="D279" s="23">
        <v>3168510</v>
      </c>
      <c r="E279" s="24">
        <f>VLOOKUP(B279,Лист2!$B:$E,2,FALSE)</f>
        <v>18</v>
      </c>
      <c r="F279" s="24">
        <f>VLOOKUP(B279,Лист2!$B:$E,3,FALSE)</f>
        <v>1505</v>
      </c>
      <c r="G279" s="24">
        <f>VLOOKUP(B279,Лист2!$B:$E,4,FALSE)</f>
        <v>1368</v>
      </c>
      <c r="H279" s="25">
        <f t="shared" si="8"/>
        <v>176028.333333333</v>
      </c>
      <c r="I279" s="29">
        <f t="shared" si="9"/>
        <v>18</v>
      </c>
    </row>
    <row r="280" ht="14.25" customHeight="1" spans="1:9">
      <c r="A280" s="18">
        <v>43963</v>
      </c>
      <c r="B280" s="19" t="s">
        <v>20</v>
      </c>
      <c r="C280" s="19">
        <v>25483.5</v>
      </c>
      <c r="D280" s="19">
        <v>2243160</v>
      </c>
      <c r="E280" s="20">
        <f>VLOOKUP(B280,Лист2!$B:$E,2,FALSE)</f>
        <v>18</v>
      </c>
      <c r="F280" s="20">
        <f>VLOOKUP(B280,Лист2!$B:$E,3,FALSE)</f>
        <v>1505</v>
      </c>
      <c r="G280" s="20">
        <f>VLOOKUP(B280,Лист2!$B:$E,4,FALSE)</f>
        <v>1368</v>
      </c>
      <c r="H280" s="21">
        <f t="shared" si="8"/>
        <v>124620</v>
      </c>
      <c r="I280" s="28">
        <f t="shared" si="9"/>
        <v>20</v>
      </c>
    </row>
    <row r="281" ht="14.25" customHeight="1" spans="1:9">
      <c r="A281" s="22">
        <v>43972</v>
      </c>
      <c r="B281" s="23" t="s">
        <v>20</v>
      </c>
      <c r="C281" s="23">
        <v>25362</v>
      </c>
      <c r="D281" s="23">
        <v>2198935.5</v>
      </c>
      <c r="E281" s="24">
        <f>VLOOKUP(B281,Лист2!$B:$E,2,FALSE)</f>
        <v>18</v>
      </c>
      <c r="F281" s="24">
        <f>VLOOKUP(B281,Лист2!$B:$E,3,FALSE)</f>
        <v>1505</v>
      </c>
      <c r="G281" s="24">
        <f>VLOOKUP(B281,Лист2!$B:$E,4,FALSE)</f>
        <v>1368</v>
      </c>
      <c r="H281" s="25">
        <f t="shared" si="8"/>
        <v>122163.083333333</v>
      </c>
      <c r="I281" s="29">
        <f t="shared" si="9"/>
        <v>21</v>
      </c>
    </row>
    <row r="282" ht="14.25" customHeight="1" spans="1:9">
      <c r="A282" s="18">
        <v>43971</v>
      </c>
      <c r="B282" s="19" t="s">
        <v>20</v>
      </c>
      <c r="C282" s="19">
        <v>28849.5</v>
      </c>
      <c r="D282" s="19">
        <v>2520759</v>
      </c>
      <c r="E282" s="20">
        <f>VLOOKUP(B282,Лист2!$B:$E,2,FALSE)</f>
        <v>18</v>
      </c>
      <c r="F282" s="20">
        <f>VLOOKUP(B282,Лист2!$B:$E,3,FALSE)</f>
        <v>1505</v>
      </c>
      <c r="G282" s="20">
        <f>VLOOKUP(B282,Лист2!$B:$E,4,FALSE)</f>
        <v>1368</v>
      </c>
      <c r="H282" s="21">
        <f t="shared" si="8"/>
        <v>140042.166666667</v>
      </c>
      <c r="I282" s="28">
        <f t="shared" si="9"/>
        <v>21</v>
      </c>
    </row>
    <row r="283" ht="14.25" customHeight="1" spans="1:9">
      <c r="A283" s="22">
        <v>43956</v>
      </c>
      <c r="B283" s="23" t="s">
        <v>20</v>
      </c>
      <c r="C283" s="23">
        <v>26367</v>
      </c>
      <c r="D283" s="23">
        <v>2380333.5</v>
      </c>
      <c r="E283" s="24">
        <f>VLOOKUP(B283,Лист2!$B:$E,2,FALSE)</f>
        <v>18</v>
      </c>
      <c r="F283" s="24">
        <f>VLOOKUP(B283,Лист2!$B:$E,3,FALSE)</f>
        <v>1505</v>
      </c>
      <c r="G283" s="24">
        <f>VLOOKUP(B283,Лист2!$B:$E,4,FALSE)</f>
        <v>1368</v>
      </c>
      <c r="H283" s="25">
        <f t="shared" si="8"/>
        <v>132240.75</v>
      </c>
      <c r="I283" s="29">
        <f t="shared" si="9"/>
        <v>19</v>
      </c>
    </row>
    <row r="284" ht="14.25" customHeight="1" spans="1:9">
      <c r="A284" s="18">
        <v>43964</v>
      </c>
      <c r="B284" s="19" t="s">
        <v>20</v>
      </c>
      <c r="C284" s="19">
        <v>25539</v>
      </c>
      <c r="D284" s="19">
        <v>2263651.5</v>
      </c>
      <c r="E284" s="20">
        <f>VLOOKUP(B284,Лист2!$B:$E,2,FALSE)</f>
        <v>18</v>
      </c>
      <c r="F284" s="20">
        <f>VLOOKUP(B284,Лист2!$B:$E,3,FALSE)</f>
        <v>1505</v>
      </c>
      <c r="G284" s="20">
        <f>VLOOKUP(B284,Лист2!$B:$E,4,FALSE)</f>
        <v>1368</v>
      </c>
      <c r="H284" s="21">
        <f t="shared" si="8"/>
        <v>125758.416666667</v>
      </c>
      <c r="I284" s="28">
        <f t="shared" si="9"/>
        <v>20</v>
      </c>
    </row>
    <row r="285" ht="14.25" customHeight="1" spans="1:9">
      <c r="A285" s="22">
        <v>43982</v>
      </c>
      <c r="B285" s="23" t="s">
        <v>19</v>
      </c>
      <c r="C285" s="23">
        <v>14808</v>
      </c>
      <c r="D285" s="23">
        <v>1336789.5</v>
      </c>
      <c r="E285" s="24">
        <f>VLOOKUP(B285,Лист2!$B:$E,2,FALSE)</f>
        <v>15</v>
      </c>
      <c r="F285" s="24">
        <f>VLOOKUP(B285,Лист2!$B:$E,3,FALSE)</f>
        <v>262</v>
      </c>
      <c r="G285" s="24">
        <f>VLOOKUP(B285,Лист2!$B:$E,4,FALSE)</f>
        <v>195</v>
      </c>
      <c r="H285" s="25">
        <f t="shared" si="8"/>
        <v>89119.3</v>
      </c>
      <c r="I285" s="29">
        <f t="shared" si="9"/>
        <v>22</v>
      </c>
    </row>
    <row r="286" ht="14.25" customHeight="1" spans="1:9">
      <c r="A286" s="18">
        <v>43954</v>
      </c>
      <c r="B286" s="19" t="s">
        <v>20</v>
      </c>
      <c r="C286" s="19">
        <v>21343.5</v>
      </c>
      <c r="D286" s="19">
        <v>1906557</v>
      </c>
      <c r="E286" s="20">
        <f>VLOOKUP(B286,Лист2!$B:$E,2,FALSE)</f>
        <v>18</v>
      </c>
      <c r="F286" s="20">
        <f>VLOOKUP(B286,Лист2!$B:$E,3,FALSE)</f>
        <v>1505</v>
      </c>
      <c r="G286" s="20">
        <f>VLOOKUP(B286,Лист2!$B:$E,4,FALSE)</f>
        <v>1368</v>
      </c>
      <c r="H286" s="21">
        <f t="shared" si="8"/>
        <v>105919.833333333</v>
      </c>
      <c r="I286" s="28">
        <f t="shared" si="9"/>
        <v>18</v>
      </c>
    </row>
    <row r="287" ht="14.25" customHeight="1" spans="1:9">
      <c r="A287" s="22">
        <v>43981</v>
      </c>
      <c r="B287" s="23" t="s">
        <v>19</v>
      </c>
      <c r="C287" s="23">
        <v>17946</v>
      </c>
      <c r="D287" s="23">
        <v>1609090.5</v>
      </c>
      <c r="E287" s="24">
        <f>VLOOKUP(B287,Лист2!$B:$E,2,FALSE)</f>
        <v>15</v>
      </c>
      <c r="F287" s="24">
        <f>VLOOKUP(B287,Лист2!$B:$E,3,FALSE)</f>
        <v>262</v>
      </c>
      <c r="G287" s="24">
        <f>VLOOKUP(B287,Лист2!$B:$E,4,FALSE)</f>
        <v>195</v>
      </c>
      <c r="H287" s="25">
        <f t="shared" si="8"/>
        <v>107272.7</v>
      </c>
      <c r="I287" s="29">
        <f t="shared" si="9"/>
        <v>22</v>
      </c>
    </row>
    <row r="288" ht="14.25" customHeight="1" spans="1:9">
      <c r="A288" s="18">
        <v>43957</v>
      </c>
      <c r="B288" s="19" t="s">
        <v>20</v>
      </c>
      <c r="C288" s="19">
        <v>24337.5</v>
      </c>
      <c r="D288" s="19">
        <v>2159350.5</v>
      </c>
      <c r="E288" s="20">
        <f>VLOOKUP(B288,Лист2!$B:$E,2,FALSE)</f>
        <v>18</v>
      </c>
      <c r="F288" s="20">
        <f>VLOOKUP(B288,Лист2!$B:$E,3,FALSE)</f>
        <v>1505</v>
      </c>
      <c r="G288" s="20">
        <f>VLOOKUP(B288,Лист2!$B:$E,4,FALSE)</f>
        <v>1368</v>
      </c>
      <c r="H288" s="21">
        <f t="shared" si="8"/>
        <v>119963.916666667</v>
      </c>
      <c r="I288" s="28">
        <f t="shared" si="9"/>
        <v>19</v>
      </c>
    </row>
    <row r="289" ht="14.25" customHeight="1" spans="1:9">
      <c r="A289" s="22">
        <v>43974</v>
      </c>
      <c r="B289" s="23" t="s">
        <v>20</v>
      </c>
      <c r="C289" s="23">
        <v>36997.5</v>
      </c>
      <c r="D289" s="23">
        <v>3089140.5</v>
      </c>
      <c r="E289" s="24">
        <f>VLOOKUP(B289,Лист2!$B:$E,2,FALSE)</f>
        <v>18</v>
      </c>
      <c r="F289" s="24">
        <f>VLOOKUP(B289,Лист2!$B:$E,3,FALSE)</f>
        <v>1505</v>
      </c>
      <c r="G289" s="24">
        <f>VLOOKUP(B289,Лист2!$B:$E,4,FALSE)</f>
        <v>1368</v>
      </c>
      <c r="H289" s="25">
        <f t="shared" si="8"/>
        <v>171618.916666667</v>
      </c>
      <c r="I289" s="29">
        <f t="shared" si="9"/>
        <v>21</v>
      </c>
    </row>
    <row r="290" ht="14.25" customHeight="1" spans="1:9">
      <c r="A290" s="18">
        <v>43979</v>
      </c>
      <c r="B290" s="19" t="s">
        <v>19</v>
      </c>
      <c r="C290" s="19">
        <v>13864.5</v>
      </c>
      <c r="D290" s="19">
        <v>1239747</v>
      </c>
      <c r="E290" s="20">
        <f>VLOOKUP(B290,Лист2!$B:$E,2,FALSE)</f>
        <v>15</v>
      </c>
      <c r="F290" s="20">
        <f>VLOOKUP(B290,Лист2!$B:$E,3,FALSE)</f>
        <v>262</v>
      </c>
      <c r="G290" s="20">
        <f>VLOOKUP(B290,Лист2!$B:$E,4,FALSE)</f>
        <v>195</v>
      </c>
      <c r="H290" s="21">
        <f t="shared" si="8"/>
        <v>82649.8</v>
      </c>
      <c r="I290" s="28">
        <f t="shared" si="9"/>
        <v>22</v>
      </c>
    </row>
    <row r="291" ht="14.25" customHeight="1" spans="1:9">
      <c r="A291" s="22">
        <v>43976</v>
      </c>
      <c r="B291" s="23" t="s">
        <v>20</v>
      </c>
      <c r="C291" s="23">
        <v>28494</v>
      </c>
      <c r="D291" s="23">
        <v>2512803</v>
      </c>
      <c r="E291" s="24">
        <f>VLOOKUP(B291,Лист2!$B:$E,2,FALSE)</f>
        <v>18</v>
      </c>
      <c r="F291" s="24">
        <f>VLOOKUP(B291,Лист2!$B:$E,3,FALSE)</f>
        <v>1505</v>
      </c>
      <c r="G291" s="24">
        <f>VLOOKUP(B291,Лист2!$B:$E,4,FALSE)</f>
        <v>1368</v>
      </c>
      <c r="H291" s="25">
        <f t="shared" si="8"/>
        <v>139600.166666667</v>
      </c>
      <c r="I291" s="29">
        <f t="shared" si="9"/>
        <v>22</v>
      </c>
    </row>
    <row r="292" ht="14.25" customHeight="1" spans="1:9">
      <c r="A292" s="18">
        <v>43951</v>
      </c>
      <c r="B292" s="19" t="s">
        <v>20</v>
      </c>
      <c r="C292" s="19">
        <v>27883.5</v>
      </c>
      <c r="D292" s="19">
        <v>2560080</v>
      </c>
      <c r="E292" s="20">
        <f>VLOOKUP(B292,Лист2!$B:$E,2,FALSE)</f>
        <v>18</v>
      </c>
      <c r="F292" s="20">
        <f>VLOOKUP(B292,Лист2!$B:$E,3,FALSE)</f>
        <v>1505</v>
      </c>
      <c r="G292" s="20">
        <f>VLOOKUP(B292,Лист2!$B:$E,4,FALSE)</f>
        <v>1368</v>
      </c>
      <c r="H292" s="21">
        <f t="shared" si="8"/>
        <v>142226.666666667</v>
      </c>
      <c r="I292" s="28">
        <f t="shared" si="9"/>
        <v>18</v>
      </c>
    </row>
    <row r="293" ht="14.25" customHeight="1" spans="1:9">
      <c r="A293" s="22">
        <v>43961</v>
      </c>
      <c r="B293" s="23" t="s">
        <v>20</v>
      </c>
      <c r="C293" s="23">
        <v>31224</v>
      </c>
      <c r="D293" s="23">
        <v>2767270.5</v>
      </c>
      <c r="E293" s="24">
        <f>VLOOKUP(B293,Лист2!$B:$E,2,FALSE)</f>
        <v>18</v>
      </c>
      <c r="F293" s="24">
        <f>VLOOKUP(B293,Лист2!$B:$E,3,FALSE)</f>
        <v>1505</v>
      </c>
      <c r="G293" s="24">
        <f>VLOOKUP(B293,Лист2!$B:$E,4,FALSE)</f>
        <v>1368</v>
      </c>
      <c r="H293" s="25">
        <f t="shared" si="8"/>
        <v>153737.25</v>
      </c>
      <c r="I293" s="29">
        <f t="shared" si="9"/>
        <v>19</v>
      </c>
    </row>
    <row r="294" ht="14.25" customHeight="1" spans="1:9">
      <c r="A294" s="18">
        <v>43959</v>
      </c>
      <c r="B294" s="19" t="s">
        <v>20</v>
      </c>
      <c r="C294" s="19">
        <v>25020</v>
      </c>
      <c r="D294" s="19">
        <v>2235960</v>
      </c>
      <c r="E294" s="20">
        <f>VLOOKUP(B294,Лист2!$B:$E,2,FALSE)</f>
        <v>18</v>
      </c>
      <c r="F294" s="20">
        <f>VLOOKUP(B294,Лист2!$B:$E,3,FALSE)</f>
        <v>1505</v>
      </c>
      <c r="G294" s="20">
        <f>VLOOKUP(B294,Лист2!$B:$E,4,FALSE)</f>
        <v>1368</v>
      </c>
      <c r="H294" s="21">
        <f t="shared" si="8"/>
        <v>124220</v>
      </c>
      <c r="I294" s="28">
        <f t="shared" si="9"/>
        <v>19</v>
      </c>
    </row>
    <row r="295" ht="14.25" customHeight="1" spans="1:9">
      <c r="A295" s="22">
        <v>43958</v>
      </c>
      <c r="B295" s="23" t="s">
        <v>20</v>
      </c>
      <c r="C295" s="23">
        <v>26184</v>
      </c>
      <c r="D295" s="23">
        <v>2308336.5</v>
      </c>
      <c r="E295" s="24">
        <f>VLOOKUP(B295,Лист2!$B:$E,2,FALSE)</f>
        <v>18</v>
      </c>
      <c r="F295" s="24">
        <f>VLOOKUP(B295,Лист2!$B:$E,3,FALSE)</f>
        <v>1505</v>
      </c>
      <c r="G295" s="24">
        <f>VLOOKUP(B295,Лист2!$B:$E,4,FALSE)</f>
        <v>1368</v>
      </c>
      <c r="H295" s="25">
        <f t="shared" si="8"/>
        <v>128240.916666667</v>
      </c>
      <c r="I295" s="29">
        <f t="shared" si="9"/>
        <v>19</v>
      </c>
    </row>
    <row r="296" ht="14.25" customHeight="1" spans="1:9">
      <c r="A296" s="18">
        <v>43975</v>
      </c>
      <c r="B296" s="19" t="s">
        <v>20</v>
      </c>
      <c r="C296" s="19">
        <v>29824.5</v>
      </c>
      <c r="D296" s="19">
        <v>2526909</v>
      </c>
      <c r="E296" s="20">
        <f>VLOOKUP(B296,Лист2!$B:$E,2,FALSE)</f>
        <v>18</v>
      </c>
      <c r="F296" s="20">
        <f>VLOOKUP(B296,Лист2!$B:$E,3,FALSE)</f>
        <v>1505</v>
      </c>
      <c r="G296" s="20">
        <f>VLOOKUP(B296,Лист2!$B:$E,4,FALSE)</f>
        <v>1368</v>
      </c>
      <c r="H296" s="21">
        <f t="shared" si="8"/>
        <v>140383.833333333</v>
      </c>
      <c r="I296" s="28">
        <f t="shared" si="9"/>
        <v>21</v>
      </c>
    </row>
    <row r="297" ht="14.25" customHeight="1" spans="1:9">
      <c r="A297" s="22">
        <v>43950</v>
      </c>
      <c r="B297" s="23" t="s">
        <v>21</v>
      </c>
      <c r="C297" s="23">
        <v>208351.5</v>
      </c>
      <c r="D297" s="23">
        <v>21615333</v>
      </c>
      <c r="E297" s="24">
        <f>VLOOKUP(B297,Лист2!$B:$E,2,FALSE)</f>
        <v>59</v>
      </c>
      <c r="F297" s="24">
        <f>VLOOKUP(B297,Лист2!$B:$E,3,FALSE)</f>
        <v>12943</v>
      </c>
      <c r="G297" s="24">
        <f>VLOOKUP(B297,Лист2!$B:$E,4,FALSE)</f>
        <v>12072</v>
      </c>
      <c r="H297" s="25">
        <f t="shared" si="8"/>
        <v>366361.576271186</v>
      </c>
      <c r="I297" s="29">
        <f t="shared" si="9"/>
        <v>18</v>
      </c>
    </row>
    <row r="298" ht="14.25" customHeight="1" spans="1:9">
      <c r="A298" s="18">
        <v>43949</v>
      </c>
      <c r="B298" s="19" t="s">
        <v>21</v>
      </c>
      <c r="C298" s="19">
        <v>204637.5</v>
      </c>
      <c r="D298" s="19">
        <v>21114898.5</v>
      </c>
      <c r="E298" s="20">
        <f>VLOOKUP(B298,Лист2!$B:$E,2,FALSE)</f>
        <v>59</v>
      </c>
      <c r="F298" s="20">
        <f>VLOOKUP(B298,Лист2!$B:$E,3,FALSE)</f>
        <v>12943</v>
      </c>
      <c r="G298" s="20">
        <f>VLOOKUP(B298,Лист2!$B:$E,4,FALSE)</f>
        <v>12072</v>
      </c>
      <c r="H298" s="21">
        <f t="shared" si="8"/>
        <v>357879.63559322</v>
      </c>
      <c r="I298" s="28">
        <f t="shared" si="9"/>
        <v>18</v>
      </c>
    </row>
    <row r="299" ht="14.25" customHeight="1" spans="1:9">
      <c r="A299" s="22">
        <v>43982</v>
      </c>
      <c r="B299" s="23" t="s">
        <v>20</v>
      </c>
      <c r="C299" s="23">
        <v>31372.5</v>
      </c>
      <c r="D299" s="23">
        <v>2794324.5</v>
      </c>
      <c r="E299" s="24">
        <f>VLOOKUP(B299,Лист2!$B:$E,2,FALSE)</f>
        <v>18</v>
      </c>
      <c r="F299" s="24">
        <f>VLOOKUP(B299,Лист2!$B:$E,3,FALSE)</f>
        <v>1505</v>
      </c>
      <c r="G299" s="24">
        <f>VLOOKUP(B299,Лист2!$B:$E,4,FALSE)</f>
        <v>1368</v>
      </c>
      <c r="H299" s="25">
        <f t="shared" si="8"/>
        <v>155240.25</v>
      </c>
      <c r="I299" s="29">
        <f t="shared" si="9"/>
        <v>22</v>
      </c>
    </row>
    <row r="300" ht="14.25" customHeight="1" spans="1:9">
      <c r="A300" s="18">
        <v>43981</v>
      </c>
      <c r="B300" s="19" t="s">
        <v>20</v>
      </c>
      <c r="C300" s="19">
        <v>34681.5</v>
      </c>
      <c r="D300" s="19">
        <v>3005334</v>
      </c>
      <c r="E300" s="20">
        <f>VLOOKUP(B300,Лист2!$B:$E,2,FALSE)</f>
        <v>18</v>
      </c>
      <c r="F300" s="20">
        <f>VLOOKUP(B300,Лист2!$B:$E,3,FALSE)</f>
        <v>1505</v>
      </c>
      <c r="G300" s="20">
        <f>VLOOKUP(B300,Лист2!$B:$E,4,FALSE)</f>
        <v>1368</v>
      </c>
      <c r="H300" s="21">
        <f t="shared" si="8"/>
        <v>166963</v>
      </c>
      <c r="I300" s="28">
        <f t="shared" si="9"/>
        <v>22</v>
      </c>
    </row>
    <row r="301" ht="14.25" customHeight="1" spans="1:9">
      <c r="A301" s="22">
        <v>43979</v>
      </c>
      <c r="B301" s="23" t="s">
        <v>20</v>
      </c>
      <c r="C301" s="23">
        <v>28197</v>
      </c>
      <c r="D301" s="23">
        <v>2559211.5</v>
      </c>
      <c r="E301" s="24">
        <f>VLOOKUP(B301,Лист2!$B:$E,2,FALSE)</f>
        <v>18</v>
      </c>
      <c r="F301" s="24">
        <f>VLOOKUP(B301,Лист2!$B:$E,3,FALSE)</f>
        <v>1505</v>
      </c>
      <c r="G301" s="24">
        <f>VLOOKUP(B301,Лист2!$B:$E,4,FALSE)</f>
        <v>1368</v>
      </c>
      <c r="H301" s="25">
        <f t="shared" si="8"/>
        <v>142178.416666667</v>
      </c>
      <c r="I301" s="29">
        <f t="shared" si="9"/>
        <v>22</v>
      </c>
    </row>
    <row r="302" ht="14.25" customHeight="1" spans="1:9">
      <c r="A302" s="18">
        <v>43967</v>
      </c>
      <c r="B302" s="19" t="s">
        <v>21</v>
      </c>
      <c r="C302" s="19">
        <v>236551.5</v>
      </c>
      <c r="D302" s="19">
        <v>23689383</v>
      </c>
      <c r="E302" s="20">
        <f>VLOOKUP(B302,Лист2!$B:$E,2,FALSE)</f>
        <v>59</v>
      </c>
      <c r="F302" s="20">
        <f>VLOOKUP(B302,Лист2!$B:$E,3,FALSE)</f>
        <v>12943</v>
      </c>
      <c r="G302" s="20">
        <f>VLOOKUP(B302,Лист2!$B:$E,4,FALSE)</f>
        <v>12072</v>
      </c>
      <c r="H302" s="21">
        <f t="shared" si="8"/>
        <v>401514.966101695</v>
      </c>
      <c r="I302" s="28">
        <f t="shared" si="9"/>
        <v>20</v>
      </c>
    </row>
    <row r="303" ht="14.25" customHeight="1" spans="1:9">
      <c r="A303" s="22">
        <v>43970</v>
      </c>
      <c r="B303" s="23" t="s">
        <v>21</v>
      </c>
      <c r="C303" s="23">
        <v>223597.5</v>
      </c>
      <c r="D303" s="23">
        <v>21945858</v>
      </c>
      <c r="E303" s="24">
        <f>VLOOKUP(B303,Лист2!$B:$E,2,FALSE)</f>
        <v>59</v>
      </c>
      <c r="F303" s="24">
        <f>VLOOKUP(B303,Лист2!$B:$E,3,FALSE)</f>
        <v>12943</v>
      </c>
      <c r="G303" s="24">
        <f>VLOOKUP(B303,Лист2!$B:$E,4,FALSE)</f>
        <v>12072</v>
      </c>
      <c r="H303" s="25">
        <f t="shared" si="8"/>
        <v>371963.694915254</v>
      </c>
      <c r="I303" s="29">
        <f t="shared" si="9"/>
        <v>21</v>
      </c>
    </row>
    <row r="304" ht="14.25" customHeight="1" spans="1:9">
      <c r="A304" s="18">
        <v>43968</v>
      </c>
      <c r="B304" s="19" t="s">
        <v>21</v>
      </c>
      <c r="C304" s="19">
        <v>193363.5</v>
      </c>
      <c r="D304" s="19">
        <v>19546386</v>
      </c>
      <c r="E304" s="20">
        <f>VLOOKUP(B304,Лист2!$B:$E,2,FALSE)</f>
        <v>59</v>
      </c>
      <c r="F304" s="20">
        <f>VLOOKUP(B304,Лист2!$B:$E,3,FALSE)</f>
        <v>12943</v>
      </c>
      <c r="G304" s="20">
        <f>VLOOKUP(B304,Лист2!$B:$E,4,FALSE)</f>
        <v>12072</v>
      </c>
      <c r="H304" s="21">
        <f t="shared" si="8"/>
        <v>331294.677966102</v>
      </c>
      <c r="I304" s="28">
        <f t="shared" si="9"/>
        <v>20</v>
      </c>
    </row>
    <row r="305" ht="14.25" customHeight="1" spans="1:9">
      <c r="A305" s="22">
        <v>43960</v>
      </c>
      <c r="B305" s="23" t="s">
        <v>21</v>
      </c>
      <c r="C305" s="23">
        <v>188319</v>
      </c>
      <c r="D305" s="23">
        <v>19218631.5</v>
      </c>
      <c r="E305" s="24">
        <f>VLOOKUP(B305,Лист2!$B:$E,2,FALSE)</f>
        <v>59</v>
      </c>
      <c r="F305" s="24">
        <f>VLOOKUP(B305,Лист2!$B:$E,3,FALSE)</f>
        <v>12943</v>
      </c>
      <c r="G305" s="24">
        <f>VLOOKUP(B305,Лист2!$B:$E,4,FALSE)</f>
        <v>12072</v>
      </c>
      <c r="H305" s="25">
        <f t="shared" si="8"/>
        <v>325739.516949153</v>
      </c>
      <c r="I305" s="29">
        <f t="shared" si="9"/>
        <v>19</v>
      </c>
    </row>
    <row r="306" ht="14.25" customHeight="1" spans="1:9">
      <c r="A306" s="18">
        <v>43955</v>
      </c>
      <c r="B306" s="19" t="s">
        <v>21</v>
      </c>
      <c r="C306" s="19">
        <v>237544.5</v>
      </c>
      <c r="D306" s="19">
        <v>24292218</v>
      </c>
      <c r="E306" s="20">
        <f>VLOOKUP(B306,Лист2!$B:$E,2,FALSE)</f>
        <v>59</v>
      </c>
      <c r="F306" s="20">
        <f>VLOOKUP(B306,Лист2!$B:$E,3,FALSE)</f>
        <v>12943</v>
      </c>
      <c r="G306" s="20">
        <f>VLOOKUP(B306,Лист2!$B:$E,4,FALSE)</f>
        <v>12072</v>
      </c>
      <c r="H306" s="21">
        <f t="shared" si="8"/>
        <v>411732.508474576</v>
      </c>
      <c r="I306" s="28">
        <f t="shared" si="9"/>
        <v>19</v>
      </c>
    </row>
    <row r="307" ht="14.25" customHeight="1" spans="1:9">
      <c r="A307" s="22">
        <v>43950</v>
      </c>
      <c r="B307" s="23" t="s">
        <v>22</v>
      </c>
      <c r="C307" s="23">
        <v>203209.5</v>
      </c>
      <c r="D307" s="23">
        <v>20871391.5</v>
      </c>
      <c r="E307" s="24">
        <f>VLOOKUP(B307,Лист2!$B:$E,2,FALSE)</f>
        <v>54</v>
      </c>
      <c r="F307" s="24">
        <f>VLOOKUP(B307,Лист2!$B:$E,3,FALSE)</f>
        <v>12306</v>
      </c>
      <c r="G307" s="24">
        <f>VLOOKUP(B307,Лист2!$B:$E,4,FALSE)</f>
        <v>11532</v>
      </c>
      <c r="H307" s="25">
        <f t="shared" si="8"/>
        <v>386507.25</v>
      </c>
      <c r="I307" s="29">
        <f t="shared" si="9"/>
        <v>18</v>
      </c>
    </row>
    <row r="308" ht="14.25" customHeight="1" spans="1:9">
      <c r="A308" s="18">
        <v>43953</v>
      </c>
      <c r="B308" s="19" t="s">
        <v>21</v>
      </c>
      <c r="C308" s="19">
        <v>185979</v>
      </c>
      <c r="D308" s="19">
        <v>19625364</v>
      </c>
      <c r="E308" s="20">
        <f>VLOOKUP(B308,Лист2!$B:$E,2,FALSE)</f>
        <v>59</v>
      </c>
      <c r="F308" s="20">
        <f>VLOOKUP(B308,Лист2!$B:$E,3,FALSE)</f>
        <v>12943</v>
      </c>
      <c r="G308" s="20">
        <f>VLOOKUP(B308,Лист2!$B:$E,4,FALSE)</f>
        <v>12072</v>
      </c>
      <c r="H308" s="21">
        <f t="shared" si="8"/>
        <v>332633.288135593</v>
      </c>
      <c r="I308" s="28">
        <f t="shared" si="9"/>
        <v>18</v>
      </c>
    </row>
    <row r="309" ht="14.25" customHeight="1" spans="1:9">
      <c r="A309" s="22">
        <v>43977</v>
      </c>
      <c r="B309" s="23" t="s">
        <v>21</v>
      </c>
      <c r="C309" s="23">
        <v>244905</v>
      </c>
      <c r="D309" s="23">
        <v>25163431.5</v>
      </c>
      <c r="E309" s="24">
        <f>VLOOKUP(B309,Лист2!$B:$E,2,FALSE)</f>
        <v>59</v>
      </c>
      <c r="F309" s="24">
        <f>VLOOKUP(B309,Лист2!$B:$E,3,FALSE)</f>
        <v>12943</v>
      </c>
      <c r="G309" s="24">
        <f>VLOOKUP(B309,Лист2!$B:$E,4,FALSE)</f>
        <v>12072</v>
      </c>
      <c r="H309" s="25">
        <f t="shared" si="8"/>
        <v>426498.838983051</v>
      </c>
      <c r="I309" s="29">
        <f t="shared" si="9"/>
        <v>22</v>
      </c>
    </row>
    <row r="310" ht="14.25" customHeight="1" spans="1:9">
      <c r="A310" s="18">
        <v>43952</v>
      </c>
      <c r="B310" s="19" t="s">
        <v>21</v>
      </c>
      <c r="C310" s="19">
        <v>239409</v>
      </c>
      <c r="D310" s="19">
        <v>25413351</v>
      </c>
      <c r="E310" s="20">
        <f>VLOOKUP(B310,Лист2!$B:$E,2,FALSE)</f>
        <v>59</v>
      </c>
      <c r="F310" s="20">
        <f>VLOOKUP(B310,Лист2!$B:$E,3,FALSE)</f>
        <v>12943</v>
      </c>
      <c r="G310" s="20">
        <f>VLOOKUP(B310,Лист2!$B:$E,4,FALSE)</f>
        <v>12072</v>
      </c>
      <c r="H310" s="21">
        <f t="shared" si="8"/>
        <v>430734.762711864</v>
      </c>
      <c r="I310" s="28">
        <f t="shared" si="9"/>
        <v>18</v>
      </c>
    </row>
    <row r="311" ht="14.25" customHeight="1" spans="1:9">
      <c r="A311" s="22">
        <v>43963</v>
      </c>
      <c r="B311" s="23" t="s">
        <v>21</v>
      </c>
      <c r="C311" s="23">
        <v>192886.5</v>
      </c>
      <c r="D311" s="23">
        <v>19205179.5</v>
      </c>
      <c r="E311" s="24">
        <f>VLOOKUP(B311,Лист2!$B:$E,2,FALSE)</f>
        <v>59</v>
      </c>
      <c r="F311" s="24">
        <f>VLOOKUP(B311,Лист2!$B:$E,3,FALSE)</f>
        <v>12943</v>
      </c>
      <c r="G311" s="24">
        <f>VLOOKUP(B311,Лист2!$B:$E,4,FALSE)</f>
        <v>12072</v>
      </c>
      <c r="H311" s="25">
        <f t="shared" si="8"/>
        <v>325511.516949153</v>
      </c>
      <c r="I311" s="29">
        <f t="shared" si="9"/>
        <v>20</v>
      </c>
    </row>
    <row r="312" ht="14.25" customHeight="1" spans="1:9">
      <c r="A312" s="18">
        <v>43972</v>
      </c>
      <c r="B312" s="19" t="s">
        <v>21</v>
      </c>
      <c r="C312" s="19">
        <v>224233.5</v>
      </c>
      <c r="D312" s="19">
        <v>22253295</v>
      </c>
      <c r="E312" s="20">
        <f>VLOOKUP(B312,Лист2!$B:$E,2,FALSE)</f>
        <v>59</v>
      </c>
      <c r="F312" s="20">
        <f>VLOOKUP(B312,Лист2!$B:$E,3,FALSE)</f>
        <v>12943</v>
      </c>
      <c r="G312" s="20">
        <f>VLOOKUP(B312,Лист2!$B:$E,4,FALSE)</f>
        <v>12072</v>
      </c>
      <c r="H312" s="21">
        <f t="shared" si="8"/>
        <v>377174.491525424</v>
      </c>
      <c r="I312" s="28">
        <f t="shared" si="9"/>
        <v>21</v>
      </c>
    </row>
    <row r="313" ht="14.25" customHeight="1" spans="1:9">
      <c r="A313" s="22">
        <v>43971</v>
      </c>
      <c r="B313" s="23" t="s">
        <v>21</v>
      </c>
      <c r="C313" s="23">
        <v>219622.5</v>
      </c>
      <c r="D313" s="23">
        <v>21959286</v>
      </c>
      <c r="E313" s="24">
        <f>VLOOKUP(B313,Лист2!$B:$E,2,FALSE)</f>
        <v>59</v>
      </c>
      <c r="F313" s="24">
        <f>VLOOKUP(B313,Лист2!$B:$E,3,FALSE)</f>
        <v>12943</v>
      </c>
      <c r="G313" s="24">
        <f>VLOOKUP(B313,Лист2!$B:$E,4,FALSE)</f>
        <v>12072</v>
      </c>
      <c r="H313" s="25">
        <f t="shared" si="8"/>
        <v>372191.288135593</v>
      </c>
      <c r="I313" s="29">
        <f t="shared" si="9"/>
        <v>21</v>
      </c>
    </row>
    <row r="314" ht="14.25" customHeight="1" spans="1:9">
      <c r="A314" s="18">
        <v>43956</v>
      </c>
      <c r="B314" s="19" t="s">
        <v>21</v>
      </c>
      <c r="C314" s="19">
        <v>213582</v>
      </c>
      <c r="D314" s="19">
        <v>21919435.5</v>
      </c>
      <c r="E314" s="20">
        <f>VLOOKUP(B314,Лист2!$B:$E,2,FALSE)</f>
        <v>59</v>
      </c>
      <c r="F314" s="20">
        <f>VLOOKUP(B314,Лист2!$B:$E,3,FALSE)</f>
        <v>12943</v>
      </c>
      <c r="G314" s="20">
        <f>VLOOKUP(B314,Лист2!$B:$E,4,FALSE)</f>
        <v>12072</v>
      </c>
      <c r="H314" s="21">
        <f t="shared" si="8"/>
        <v>371515.855932203</v>
      </c>
      <c r="I314" s="28">
        <f t="shared" si="9"/>
        <v>19</v>
      </c>
    </row>
    <row r="315" ht="14.25" customHeight="1" spans="1:9">
      <c r="A315" s="22">
        <v>43949</v>
      </c>
      <c r="B315" s="23" t="s">
        <v>22</v>
      </c>
      <c r="C315" s="23">
        <v>195705</v>
      </c>
      <c r="D315" s="23">
        <v>20003263.5</v>
      </c>
      <c r="E315" s="24">
        <f>VLOOKUP(B315,Лист2!$B:$E,2,FALSE)</f>
        <v>54</v>
      </c>
      <c r="F315" s="24">
        <f>VLOOKUP(B315,Лист2!$B:$E,3,FALSE)</f>
        <v>12306</v>
      </c>
      <c r="G315" s="24">
        <f>VLOOKUP(B315,Лист2!$B:$E,4,FALSE)</f>
        <v>11532</v>
      </c>
      <c r="H315" s="25">
        <f t="shared" si="8"/>
        <v>370430.805555556</v>
      </c>
      <c r="I315" s="29">
        <f t="shared" si="9"/>
        <v>18</v>
      </c>
    </row>
    <row r="316" ht="14.25" customHeight="1" spans="1:9">
      <c r="A316" s="18">
        <v>43964</v>
      </c>
      <c r="B316" s="19" t="s">
        <v>21</v>
      </c>
      <c r="C316" s="19">
        <v>193722</v>
      </c>
      <c r="D316" s="19">
        <v>19437273</v>
      </c>
      <c r="E316" s="20">
        <f>VLOOKUP(B316,Лист2!$B:$E,2,FALSE)</f>
        <v>59</v>
      </c>
      <c r="F316" s="20">
        <f>VLOOKUP(B316,Лист2!$B:$E,3,FALSE)</f>
        <v>12943</v>
      </c>
      <c r="G316" s="20">
        <f>VLOOKUP(B316,Лист2!$B:$E,4,FALSE)</f>
        <v>12072</v>
      </c>
      <c r="H316" s="21">
        <f t="shared" si="8"/>
        <v>329445.305084746</v>
      </c>
      <c r="I316" s="28">
        <f t="shared" si="9"/>
        <v>20</v>
      </c>
    </row>
    <row r="317" ht="14.25" customHeight="1" spans="1:9">
      <c r="A317" s="22">
        <v>43954</v>
      </c>
      <c r="B317" s="23" t="s">
        <v>21</v>
      </c>
      <c r="C317" s="23">
        <v>257215.5</v>
      </c>
      <c r="D317" s="23">
        <v>26492278.5</v>
      </c>
      <c r="E317" s="24">
        <f>VLOOKUP(B317,Лист2!$B:$E,2,FALSE)</f>
        <v>59</v>
      </c>
      <c r="F317" s="24">
        <f>VLOOKUP(B317,Лист2!$B:$E,3,FALSE)</f>
        <v>12943</v>
      </c>
      <c r="G317" s="24">
        <f>VLOOKUP(B317,Лист2!$B:$E,4,FALSE)</f>
        <v>12072</v>
      </c>
      <c r="H317" s="25">
        <f t="shared" si="8"/>
        <v>449021.669491525</v>
      </c>
      <c r="I317" s="29">
        <f t="shared" si="9"/>
        <v>18</v>
      </c>
    </row>
    <row r="318" ht="14.25" customHeight="1" spans="1:9">
      <c r="A318" s="18">
        <v>43957</v>
      </c>
      <c r="B318" s="19" t="s">
        <v>21</v>
      </c>
      <c r="C318" s="19">
        <v>224779.5</v>
      </c>
      <c r="D318" s="19">
        <v>23032992</v>
      </c>
      <c r="E318" s="20">
        <f>VLOOKUP(B318,Лист2!$B:$E,2,FALSE)</f>
        <v>59</v>
      </c>
      <c r="F318" s="20">
        <f>VLOOKUP(B318,Лист2!$B:$E,3,FALSE)</f>
        <v>12943</v>
      </c>
      <c r="G318" s="20">
        <f>VLOOKUP(B318,Лист2!$B:$E,4,FALSE)</f>
        <v>12072</v>
      </c>
      <c r="H318" s="21">
        <f t="shared" si="8"/>
        <v>390389.694915254</v>
      </c>
      <c r="I318" s="28">
        <f t="shared" si="9"/>
        <v>19</v>
      </c>
    </row>
    <row r="319" ht="14.25" customHeight="1" spans="1:9">
      <c r="A319" s="22">
        <v>43974</v>
      </c>
      <c r="B319" s="23" t="s">
        <v>21</v>
      </c>
      <c r="C319" s="23">
        <v>292018.5</v>
      </c>
      <c r="D319" s="23">
        <v>28590910.5</v>
      </c>
      <c r="E319" s="24">
        <f>VLOOKUP(B319,Лист2!$B:$E,2,FALSE)</f>
        <v>59</v>
      </c>
      <c r="F319" s="24">
        <f>VLOOKUP(B319,Лист2!$B:$E,3,FALSE)</f>
        <v>12943</v>
      </c>
      <c r="G319" s="24">
        <f>VLOOKUP(B319,Лист2!$B:$E,4,FALSE)</f>
        <v>12072</v>
      </c>
      <c r="H319" s="25">
        <f t="shared" si="8"/>
        <v>484591.70338983</v>
      </c>
      <c r="I319" s="29">
        <f t="shared" si="9"/>
        <v>21</v>
      </c>
    </row>
    <row r="320" ht="14.25" customHeight="1" spans="1:9">
      <c r="A320" s="18">
        <v>43976</v>
      </c>
      <c r="B320" s="19" t="s">
        <v>21</v>
      </c>
      <c r="C320" s="19">
        <v>198751.5</v>
      </c>
      <c r="D320" s="19">
        <v>20582743.5</v>
      </c>
      <c r="E320" s="20">
        <f>VLOOKUP(B320,Лист2!$B:$E,2,FALSE)</f>
        <v>59</v>
      </c>
      <c r="F320" s="20">
        <f>VLOOKUP(B320,Лист2!$B:$E,3,FALSE)</f>
        <v>12943</v>
      </c>
      <c r="G320" s="20">
        <f>VLOOKUP(B320,Лист2!$B:$E,4,FALSE)</f>
        <v>12072</v>
      </c>
      <c r="H320" s="21">
        <f t="shared" si="8"/>
        <v>348860.059322034</v>
      </c>
      <c r="I320" s="28">
        <f t="shared" si="9"/>
        <v>22</v>
      </c>
    </row>
    <row r="321" ht="14.25" customHeight="1" spans="1:9">
      <c r="A321" s="22">
        <v>43951</v>
      </c>
      <c r="B321" s="23" t="s">
        <v>21</v>
      </c>
      <c r="C321" s="23">
        <v>214386</v>
      </c>
      <c r="D321" s="23">
        <v>22530000</v>
      </c>
      <c r="E321" s="24">
        <f>VLOOKUP(B321,Лист2!$B:$E,2,FALSE)</f>
        <v>59</v>
      </c>
      <c r="F321" s="24">
        <f>VLOOKUP(B321,Лист2!$B:$E,3,FALSE)</f>
        <v>12943</v>
      </c>
      <c r="G321" s="24">
        <f>VLOOKUP(B321,Лист2!$B:$E,4,FALSE)</f>
        <v>12072</v>
      </c>
      <c r="H321" s="25">
        <f t="shared" si="8"/>
        <v>381864.406779661</v>
      </c>
      <c r="I321" s="29">
        <f t="shared" si="9"/>
        <v>18</v>
      </c>
    </row>
    <row r="322" ht="14.25" customHeight="1" spans="1:9">
      <c r="A322" s="18">
        <v>43961</v>
      </c>
      <c r="B322" s="19" t="s">
        <v>21</v>
      </c>
      <c r="C322" s="19">
        <v>243825</v>
      </c>
      <c r="D322" s="19">
        <v>24890404.5</v>
      </c>
      <c r="E322" s="20">
        <f>VLOOKUP(B322,Лист2!$B:$E,2,FALSE)</f>
        <v>59</v>
      </c>
      <c r="F322" s="20">
        <f>VLOOKUP(B322,Лист2!$B:$E,3,FALSE)</f>
        <v>12943</v>
      </c>
      <c r="G322" s="20">
        <f>VLOOKUP(B322,Лист2!$B:$E,4,FALSE)</f>
        <v>12072</v>
      </c>
      <c r="H322" s="21">
        <f t="shared" si="8"/>
        <v>421871.262711864</v>
      </c>
      <c r="I322" s="28">
        <f t="shared" si="9"/>
        <v>19</v>
      </c>
    </row>
    <row r="323" ht="14.25" customHeight="1" spans="1:9">
      <c r="A323" s="22">
        <v>43959</v>
      </c>
      <c r="B323" s="23" t="s">
        <v>21</v>
      </c>
      <c r="C323" s="23">
        <v>232701</v>
      </c>
      <c r="D323" s="23">
        <v>23881948.5</v>
      </c>
      <c r="E323" s="24">
        <f>VLOOKUP(B323,Лист2!$B:$E,2,FALSE)</f>
        <v>59</v>
      </c>
      <c r="F323" s="24">
        <f>VLOOKUP(B323,Лист2!$B:$E,3,FALSE)</f>
        <v>12943</v>
      </c>
      <c r="G323" s="24">
        <f>VLOOKUP(B323,Лист2!$B:$E,4,FALSE)</f>
        <v>12072</v>
      </c>
      <c r="H323" s="25">
        <f t="shared" ref="H323:H386" si="10">IF(E323=0,0,D323/E323)</f>
        <v>404778.788135593</v>
      </c>
      <c r="I323" s="29">
        <f t="shared" ref="I323:I386" si="11">WEEKNUM(A323,2)</f>
        <v>19</v>
      </c>
    </row>
    <row r="324" ht="14.25" customHeight="1" spans="1:9">
      <c r="A324" s="18">
        <v>43958</v>
      </c>
      <c r="B324" s="19" t="s">
        <v>21</v>
      </c>
      <c r="C324" s="19">
        <v>219411</v>
      </c>
      <c r="D324" s="19">
        <v>22460130</v>
      </c>
      <c r="E324" s="20">
        <f>VLOOKUP(B324,Лист2!$B:$E,2,FALSE)</f>
        <v>59</v>
      </c>
      <c r="F324" s="20">
        <f>VLOOKUP(B324,Лист2!$B:$E,3,FALSE)</f>
        <v>12943</v>
      </c>
      <c r="G324" s="20">
        <f>VLOOKUP(B324,Лист2!$B:$E,4,FALSE)</f>
        <v>12072</v>
      </c>
      <c r="H324" s="21">
        <f t="shared" si="10"/>
        <v>380680.169491525</v>
      </c>
      <c r="I324" s="28">
        <f t="shared" si="11"/>
        <v>19</v>
      </c>
    </row>
    <row r="325" ht="14.25" customHeight="1" spans="1:9">
      <c r="A325" s="22">
        <v>43975</v>
      </c>
      <c r="B325" s="23" t="s">
        <v>21</v>
      </c>
      <c r="C325" s="23">
        <v>200029.5</v>
      </c>
      <c r="D325" s="23">
        <v>19959801</v>
      </c>
      <c r="E325" s="24">
        <f>VLOOKUP(B325,Лист2!$B:$E,2,FALSE)</f>
        <v>59</v>
      </c>
      <c r="F325" s="24">
        <f>VLOOKUP(B325,Лист2!$B:$E,3,FALSE)</f>
        <v>12943</v>
      </c>
      <c r="G325" s="24">
        <f>VLOOKUP(B325,Лист2!$B:$E,4,FALSE)</f>
        <v>12072</v>
      </c>
      <c r="H325" s="25">
        <f t="shared" si="10"/>
        <v>338301.711864407</v>
      </c>
      <c r="I325" s="29">
        <f t="shared" si="11"/>
        <v>21</v>
      </c>
    </row>
    <row r="326" ht="14.25" customHeight="1" spans="1:9">
      <c r="A326" s="18">
        <v>43967</v>
      </c>
      <c r="B326" s="19" t="s">
        <v>22</v>
      </c>
      <c r="C326" s="19">
        <v>225480</v>
      </c>
      <c r="D326" s="19">
        <v>22355338.5</v>
      </c>
      <c r="E326" s="20">
        <f>VLOOKUP(B326,Лист2!$B:$E,2,FALSE)</f>
        <v>54</v>
      </c>
      <c r="F326" s="20">
        <f>VLOOKUP(B326,Лист2!$B:$E,3,FALSE)</f>
        <v>12306</v>
      </c>
      <c r="G326" s="20">
        <f>VLOOKUP(B326,Лист2!$B:$E,4,FALSE)</f>
        <v>11532</v>
      </c>
      <c r="H326" s="21">
        <f t="shared" si="10"/>
        <v>413987.75</v>
      </c>
      <c r="I326" s="28">
        <f t="shared" si="11"/>
        <v>20</v>
      </c>
    </row>
    <row r="327" ht="14.25" customHeight="1" spans="1:9">
      <c r="A327" s="22">
        <v>43970</v>
      </c>
      <c r="B327" s="23" t="s">
        <v>22</v>
      </c>
      <c r="C327" s="23">
        <v>211453.5</v>
      </c>
      <c r="D327" s="23">
        <v>20590072.5</v>
      </c>
      <c r="E327" s="24">
        <f>VLOOKUP(B327,Лист2!$B:$E,2,FALSE)</f>
        <v>54</v>
      </c>
      <c r="F327" s="24">
        <f>VLOOKUP(B327,Лист2!$B:$E,3,FALSE)</f>
        <v>12306</v>
      </c>
      <c r="G327" s="24">
        <f>VLOOKUP(B327,Лист2!$B:$E,4,FALSE)</f>
        <v>11532</v>
      </c>
      <c r="H327" s="25">
        <f t="shared" si="10"/>
        <v>381297.638888889</v>
      </c>
      <c r="I327" s="29">
        <f t="shared" si="11"/>
        <v>21</v>
      </c>
    </row>
    <row r="328" ht="14.25" customHeight="1" spans="1:9">
      <c r="A328" s="18">
        <v>43968</v>
      </c>
      <c r="B328" s="19" t="s">
        <v>22</v>
      </c>
      <c r="C328" s="19">
        <v>184801.5</v>
      </c>
      <c r="D328" s="19">
        <v>18449091</v>
      </c>
      <c r="E328" s="20">
        <f>VLOOKUP(B328,Лист2!$B:$E,2,FALSE)</f>
        <v>54</v>
      </c>
      <c r="F328" s="20">
        <f>VLOOKUP(B328,Лист2!$B:$E,3,FALSE)</f>
        <v>12306</v>
      </c>
      <c r="G328" s="20">
        <f>VLOOKUP(B328,Лист2!$B:$E,4,FALSE)</f>
        <v>11532</v>
      </c>
      <c r="H328" s="21">
        <f t="shared" si="10"/>
        <v>341649.833333333</v>
      </c>
      <c r="I328" s="28">
        <f t="shared" si="11"/>
        <v>20</v>
      </c>
    </row>
    <row r="329" ht="14.25" customHeight="1" spans="1:9">
      <c r="A329" s="22">
        <v>43960</v>
      </c>
      <c r="B329" s="23" t="s">
        <v>22</v>
      </c>
      <c r="C329" s="23">
        <v>177976.5</v>
      </c>
      <c r="D329" s="23">
        <v>18085798.5</v>
      </c>
      <c r="E329" s="24">
        <f>VLOOKUP(B329,Лист2!$B:$E,2,FALSE)</f>
        <v>54</v>
      </c>
      <c r="F329" s="24">
        <f>VLOOKUP(B329,Лист2!$B:$E,3,FALSE)</f>
        <v>12306</v>
      </c>
      <c r="G329" s="24">
        <f>VLOOKUP(B329,Лист2!$B:$E,4,FALSE)</f>
        <v>11532</v>
      </c>
      <c r="H329" s="25">
        <f t="shared" si="10"/>
        <v>334922.194444444</v>
      </c>
      <c r="I329" s="29">
        <f t="shared" si="11"/>
        <v>19</v>
      </c>
    </row>
    <row r="330" ht="14.25" customHeight="1" spans="1:9">
      <c r="A330" s="18">
        <v>43955</v>
      </c>
      <c r="B330" s="19" t="s">
        <v>22</v>
      </c>
      <c r="C330" s="19">
        <v>223617</v>
      </c>
      <c r="D330" s="19">
        <v>22796827.5</v>
      </c>
      <c r="E330" s="20">
        <f>VLOOKUP(B330,Лист2!$B:$E,2,FALSE)</f>
        <v>54</v>
      </c>
      <c r="F330" s="20">
        <f>VLOOKUP(B330,Лист2!$B:$E,3,FALSE)</f>
        <v>12306</v>
      </c>
      <c r="G330" s="20">
        <f>VLOOKUP(B330,Лист2!$B:$E,4,FALSE)</f>
        <v>11532</v>
      </c>
      <c r="H330" s="21">
        <f t="shared" si="10"/>
        <v>422163.472222222</v>
      </c>
      <c r="I330" s="28">
        <f t="shared" si="11"/>
        <v>19</v>
      </c>
    </row>
    <row r="331" ht="14.25" customHeight="1" spans="1:9">
      <c r="A331" s="22">
        <v>43953</v>
      </c>
      <c r="B331" s="23" t="s">
        <v>22</v>
      </c>
      <c r="C331" s="23">
        <v>176397</v>
      </c>
      <c r="D331" s="23">
        <v>18625921.5</v>
      </c>
      <c r="E331" s="24">
        <f>VLOOKUP(B331,Лист2!$B:$E,2,FALSE)</f>
        <v>54</v>
      </c>
      <c r="F331" s="24">
        <f>VLOOKUP(B331,Лист2!$B:$E,3,FALSE)</f>
        <v>12306</v>
      </c>
      <c r="G331" s="24">
        <f>VLOOKUP(B331,Лист2!$B:$E,4,FALSE)</f>
        <v>11532</v>
      </c>
      <c r="H331" s="25">
        <f t="shared" si="10"/>
        <v>344924.472222222</v>
      </c>
      <c r="I331" s="29">
        <f t="shared" si="11"/>
        <v>18</v>
      </c>
    </row>
    <row r="332" ht="14.25" customHeight="1" spans="1:9">
      <c r="A332" s="18">
        <v>43977</v>
      </c>
      <c r="B332" s="19" t="s">
        <v>22</v>
      </c>
      <c r="C332" s="19">
        <v>232369.5</v>
      </c>
      <c r="D332" s="19">
        <v>23856345</v>
      </c>
      <c r="E332" s="20">
        <f>VLOOKUP(B332,Лист2!$B:$E,2,FALSE)</f>
        <v>54</v>
      </c>
      <c r="F332" s="20">
        <f>VLOOKUP(B332,Лист2!$B:$E,3,FALSE)</f>
        <v>12306</v>
      </c>
      <c r="G332" s="20">
        <f>VLOOKUP(B332,Лист2!$B:$E,4,FALSE)</f>
        <v>11532</v>
      </c>
      <c r="H332" s="21">
        <f t="shared" si="10"/>
        <v>441784.166666667</v>
      </c>
      <c r="I332" s="28">
        <f t="shared" si="11"/>
        <v>22</v>
      </c>
    </row>
    <row r="333" ht="14.25" customHeight="1" spans="1:9">
      <c r="A333" s="22">
        <v>43952</v>
      </c>
      <c r="B333" s="23" t="s">
        <v>22</v>
      </c>
      <c r="C333" s="23">
        <v>226540.5</v>
      </c>
      <c r="D333" s="23">
        <v>23953536</v>
      </c>
      <c r="E333" s="24">
        <f>VLOOKUP(B333,Лист2!$B:$E,2,FALSE)</f>
        <v>54</v>
      </c>
      <c r="F333" s="24">
        <f>VLOOKUP(B333,Лист2!$B:$E,3,FALSE)</f>
        <v>12306</v>
      </c>
      <c r="G333" s="24">
        <f>VLOOKUP(B333,Лист2!$B:$E,4,FALSE)</f>
        <v>11532</v>
      </c>
      <c r="H333" s="25">
        <f t="shared" si="10"/>
        <v>443584</v>
      </c>
      <c r="I333" s="29">
        <f t="shared" si="11"/>
        <v>18</v>
      </c>
    </row>
    <row r="334" ht="14.25" customHeight="1" spans="1:9">
      <c r="A334" s="18">
        <v>43963</v>
      </c>
      <c r="B334" s="19" t="s">
        <v>22</v>
      </c>
      <c r="C334" s="19">
        <v>189679.5</v>
      </c>
      <c r="D334" s="19">
        <v>18718036.5</v>
      </c>
      <c r="E334" s="20">
        <f>VLOOKUP(B334,Лист2!$B:$E,2,FALSE)</f>
        <v>54</v>
      </c>
      <c r="F334" s="20">
        <f>VLOOKUP(B334,Лист2!$B:$E,3,FALSE)</f>
        <v>12306</v>
      </c>
      <c r="G334" s="20">
        <f>VLOOKUP(B334,Лист2!$B:$E,4,FALSE)</f>
        <v>11532</v>
      </c>
      <c r="H334" s="21">
        <f t="shared" si="10"/>
        <v>346630.305555556</v>
      </c>
      <c r="I334" s="28">
        <f t="shared" si="11"/>
        <v>20</v>
      </c>
    </row>
    <row r="335" ht="14.25" customHeight="1" spans="1:9">
      <c r="A335" s="22">
        <v>43972</v>
      </c>
      <c r="B335" s="23" t="s">
        <v>22</v>
      </c>
      <c r="C335" s="23">
        <v>213640.5</v>
      </c>
      <c r="D335" s="23">
        <v>21042673.5</v>
      </c>
      <c r="E335" s="24">
        <f>VLOOKUP(B335,Лист2!$B:$E,2,FALSE)</f>
        <v>54</v>
      </c>
      <c r="F335" s="24">
        <f>VLOOKUP(B335,Лист2!$B:$E,3,FALSE)</f>
        <v>12306</v>
      </c>
      <c r="G335" s="24">
        <f>VLOOKUP(B335,Лист2!$B:$E,4,FALSE)</f>
        <v>11532</v>
      </c>
      <c r="H335" s="25">
        <f t="shared" si="10"/>
        <v>389679.138888889</v>
      </c>
      <c r="I335" s="29">
        <f t="shared" si="11"/>
        <v>21</v>
      </c>
    </row>
    <row r="336" ht="14.25" customHeight="1" spans="1:9">
      <c r="A336" s="18">
        <v>43971</v>
      </c>
      <c r="B336" s="19" t="s">
        <v>22</v>
      </c>
      <c r="C336" s="19">
        <v>214885.5</v>
      </c>
      <c r="D336" s="19">
        <v>21411349.5</v>
      </c>
      <c r="E336" s="20">
        <f>VLOOKUP(B336,Лист2!$B:$E,2,FALSE)</f>
        <v>54</v>
      </c>
      <c r="F336" s="20">
        <f>VLOOKUP(B336,Лист2!$B:$E,3,FALSE)</f>
        <v>12306</v>
      </c>
      <c r="G336" s="20">
        <f>VLOOKUP(B336,Лист2!$B:$E,4,FALSE)</f>
        <v>11532</v>
      </c>
      <c r="H336" s="21">
        <f t="shared" si="10"/>
        <v>396506.472222222</v>
      </c>
      <c r="I336" s="28">
        <f t="shared" si="11"/>
        <v>21</v>
      </c>
    </row>
    <row r="337" ht="14.25" customHeight="1" spans="1:9">
      <c r="A337" s="22">
        <v>43956</v>
      </c>
      <c r="B337" s="23" t="s">
        <v>22</v>
      </c>
      <c r="C337" s="23">
        <v>203832</v>
      </c>
      <c r="D337" s="23">
        <v>20880142.5</v>
      </c>
      <c r="E337" s="24">
        <f>VLOOKUP(B337,Лист2!$B:$E,2,FALSE)</f>
        <v>54</v>
      </c>
      <c r="F337" s="24">
        <f>VLOOKUP(B337,Лист2!$B:$E,3,FALSE)</f>
        <v>12306</v>
      </c>
      <c r="G337" s="24">
        <f>VLOOKUP(B337,Лист2!$B:$E,4,FALSE)</f>
        <v>11532</v>
      </c>
      <c r="H337" s="25">
        <f t="shared" si="10"/>
        <v>386669.305555556</v>
      </c>
      <c r="I337" s="29">
        <f t="shared" si="11"/>
        <v>19</v>
      </c>
    </row>
    <row r="338" ht="14.25" customHeight="1" spans="1:9">
      <c r="A338" s="18">
        <v>43964</v>
      </c>
      <c r="B338" s="19" t="s">
        <v>22</v>
      </c>
      <c r="C338" s="19">
        <v>188662.5</v>
      </c>
      <c r="D338" s="19">
        <v>18784000.5</v>
      </c>
      <c r="E338" s="20">
        <f>VLOOKUP(B338,Лист2!$B:$E,2,FALSE)</f>
        <v>54</v>
      </c>
      <c r="F338" s="20">
        <f>VLOOKUP(B338,Лист2!$B:$E,3,FALSE)</f>
        <v>12306</v>
      </c>
      <c r="G338" s="20">
        <f>VLOOKUP(B338,Лист2!$B:$E,4,FALSE)</f>
        <v>11532</v>
      </c>
      <c r="H338" s="21">
        <f t="shared" si="10"/>
        <v>347851.861111111</v>
      </c>
      <c r="I338" s="28">
        <f t="shared" si="11"/>
        <v>20</v>
      </c>
    </row>
    <row r="339" ht="14.25" customHeight="1" spans="1:9">
      <c r="A339" s="22">
        <v>43982</v>
      </c>
      <c r="B339" s="23" t="s">
        <v>21</v>
      </c>
      <c r="C339" s="23">
        <v>215277</v>
      </c>
      <c r="D339" s="23">
        <v>21585316.5</v>
      </c>
      <c r="E339" s="24">
        <f>VLOOKUP(B339,Лист2!$B:$E,2,FALSE)</f>
        <v>59</v>
      </c>
      <c r="F339" s="24">
        <f>VLOOKUP(B339,Лист2!$B:$E,3,FALSE)</f>
        <v>12943</v>
      </c>
      <c r="G339" s="24">
        <f>VLOOKUP(B339,Лист2!$B:$E,4,FALSE)</f>
        <v>12072</v>
      </c>
      <c r="H339" s="25">
        <f t="shared" si="10"/>
        <v>365852.822033898</v>
      </c>
      <c r="I339" s="29">
        <f t="shared" si="11"/>
        <v>22</v>
      </c>
    </row>
    <row r="340" ht="14.25" customHeight="1" spans="1:9">
      <c r="A340" s="18">
        <v>43954</v>
      </c>
      <c r="B340" s="19" t="s">
        <v>22</v>
      </c>
      <c r="C340" s="19">
        <v>248148</v>
      </c>
      <c r="D340" s="19">
        <v>25519072.5</v>
      </c>
      <c r="E340" s="20">
        <f>VLOOKUP(B340,Лист2!$B:$E,2,FALSE)</f>
        <v>54</v>
      </c>
      <c r="F340" s="20">
        <f>VLOOKUP(B340,Лист2!$B:$E,3,FALSE)</f>
        <v>12306</v>
      </c>
      <c r="G340" s="20">
        <f>VLOOKUP(B340,Лист2!$B:$E,4,FALSE)</f>
        <v>11532</v>
      </c>
      <c r="H340" s="21">
        <f t="shared" si="10"/>
        <v>472575.416666667</v>
      </c>
      <c r="I340" s="28">
        <f t="shared" si="11"/>
        <v>18</v>
      </c>
    </row>
    <row r="341" ht="14.25" customHeight="1" spans="1:9">
      <c r="A341" s="22">
        <v>43981</v>
      </c>
      <c r="B341" s="23" t="s">
        <v>21</v>
      </c>
      <c r="C341" s="23">
        <v>246414</v>
      </c>
      <c r="D341" s="23">
        <v>24527245.5</v>
      </c>
      <c r="E341" s="24">
        <f>VLOOKUP(B341,Лист2!$B:$E,2,FALSE)</f>
        <v>59</v>
      </c>
      <c r="F341" s="24">
        <f>VLOOKUP(B341,Лист2!$B:$E,3,FALSE)</f>
        <v>12943</v>
      </c>
      <c r="G341" s="24">
        <f>VLOOKUP(B341,Лист2!$B:$E,4,FALSE)</f>
        <v>12072</v>
      </c>
      <c r="H341" s="25">
        <f t="shared" si="10"/>
        <v>415716.025423729</v>
      </c>
      <c r="I341" s="29">
        <f t="shared" si="11"/>
        <v>22</v>
      </c>
    </row>
    <row r="342" ht="14.25" customHeight="1" spans="1:9">
      <c r="A342" s="18">
        <v>43957</v>
      </c>
      <c r="B342" s="19" t="s">
        <v>22</v>
      </c>
      <c r="C342" s="19">
        <v>216498</v>
      </c>
      <c r="D342" s="19">
        <v>22126444.5</v>
      </c>
      <c r="E342" s="20">
        <f>VLOOKUP(B342,Лист2!$B:$E,2,FALSE)</f>
        <v>54</v>
      </c>
      <c r="F342" s="20">
        <f>VLOOKUP(B342,Лист2!$B:$E,3,FALSE)</f>
        <v>12306</v>
      </c>
      <c r="G342" s="20">
        <f>VLOOKUP(B342,Лист2!$B:$E,4,FALSE)</f>
        <v>11532</v>
      </c>
      <c r="H342" s="21">
        <f t="shared" si="10"/>
        <v>409748.972222222</v>
      </c>
      <c r="I342" s="28">
        <f t="shared" si="11"/>
        <v>19</v>
      </c>
    </row>
    <row r="343" ht="14.25" customHeight="1" spans="1:9">
      <c r="A343" s="22">
        <v>43974</v>
      </c>
      <c r="B343" s="23" t="s">
        <v>22</v>
      </c>
      <c r="C343" s="23">
        <v>275793</v>
      </c>
      <c r="D343" s="23">
        <v>26806626</v>
      </c>
      <c r="E343" s="24">
        <f>VLOOKUP(B343,Лист2!$B:$E,2,FALSE)</f>
        <v>54</v>
      </c>
      <c r="F343" s="24">
        <f>VLOOKUP(B343,Лист2!$B:$E,3,FALSE)</f>
        <v>12306</v>
      </c>
      <c r="G343" s="24">
        <f>VLOOKUP(B343,Лист2!$B:$E,4,FALSE)</f>
        <v>11532</v>
      </c>
      <c r="H343" s="25">
        <f t="shared" si="10"/>
        <v>496419</v>
      </c>
      <c r="I343" s="29">
        <f t="shared" si="11"/>
        <v>21</v>
      </c>
    </row>
    <row r="344" ht="14.25" customHeight="1" spans="1:9">
      <c r="A344" s="18">
        <v>43979</v>
      </c>
      <c r="B344" s="19" t="s">
        <v>21</v>
      </c>
      <c r="C344" s="19">
        <v>199753.5</v>
      </c>
      <c r="D344" s="19">
        <v>20535733.5</v>
      </c>
      <c r="E344" s="20">
        <f>VLOOKUP(B344,Лист2!$B:$E,2,FALSE)</f>
        <v>59</v>
      </c>
      <c r="F344" s="20">
        <f>VLOOKUP(B344,Лист2!$B:$E,3,FALSE)</f>
        <v>12943</v>
      </c>
      <c r="G344" s="20">
        <f>VLOOKUP(B344,Лист2!$B:$E,4,FALSE)</f>
        <v>12072</v>
      </c>
      <c r="H344" s="21">
        <f t="shared" si="10"/>
        <v>348063.279661017</v>
      </c>
      <c r="I344" s="28">
        <f t="shared" si="11"/>
        <v>22</v>
      </c>
    </row>
    <row r="345" ht="14.25" customHeight="1" spans="1:9">
      <c r="A345" s="22">
        <v>43976</v>
      </c>
      <c r="B345" s="23" t="s">
        <v>22</v>
      </c>
      <c r="C345" s="23">
        <v>192948</v>
      </c>
      <c r="D345" s="23">
        <v>19806927</v>
      </c>
      <c r="E345" s="24">
        <f>VLOOKUP(B345,Лист2!$B:$E,2,FALSE)</f>
        <v>54</v>
      </c>
      <c r="F345" s="24">
        <f>VLOOKUP(B345,Лист2!$B:$E,3,FALSE)</f>
        <v>12306</v>
      </c>
      <c r="G345" s="24">
        <f>VLOOKUP(B345,Лист2!$B:$E,4,FALSE)</f>
        <v>11532</v>
      </c>
      <c r="H345" s="25">
        <f t="shared" si="10"/>
        <v>366794.944444444</v>
      </c>
      <c r="I345" s="29">
        <f t="shared" si="11"/>
        <v>22</v>
      </c>
    </row>
    <row r="346" ht="14.25" customHeight="1" spans="1:9">
      <c r="A346" s="18">
        <v>43951</v>
      </c>
      <c r="B346" s="19" t="s">
        <v>22</v>
      </c>
      <c r="C346" s="19">
        <v>206038.5</v>
      </c>
      <c r="D346" s="19">
        <v>21740460</v>
      </c>
      <c r="E346" s="20">
        <f>VLOOKUP(B346,Лист2!$B:$E,2,FALSE)</f>
        <v>54</v>
      </c>
      <c r="F346" s="20">
        <f>VLOOKUP(B346,Лист2!$B:$E,3,FALSE)</f>
        <v>12306</v>
      </c>
      <c r="G346" s="20">
        <f>VLOOKUP(B346,Лист2!$B:$E,4,FALSE)</f>
        <v>11532</v>
      </c>
      <c r="H346" s="21">
        <f t="shared" si="10"/>
        <v>402601.111111111</v>
      </c>
      <c r="I346" s="28">
        <f t="shared" si="11"/>
        <v>18</v>
      </c>
    </row>
    <row r="347" ht="14.25" customHeight="1" spans="1:9">
      <c r="A347" s="22">
        <v>43961</v>
      </c>
      <c r="B347" s="23" t="s">
        <v>22</v>
      </c>
      <c r="C347" s="23">
        <v>231559.5</v>
      </c>
      <c r="D347" s="23">
        <v>23443725</v>
      </c>
      <c r="E347" s="24">
        <f>VLOOKUP(B347,Лист2!$B:$E,2,FALSE)</f>
        <v>54</v>
      </c>
      <c r="F347" s="24">
        <f>VLOOKUP(B347,Лист2!$B:$E,3,FALSE)</f>
        <v>12306</v>
      </c>
      <c r="G347" s="24">
        <f>VLOOKUP(B347,Лист2!$B:$E,4,FALSE)</f>
        <v>11532</v>
      </c>
      <c r="H347" s="25">
        <f t="shared" si="10"/>
        <v>434143.055555556</v>
      </c>
      <c r="I347" s="29">
        <f t="shared" si="11"/>
        <v>19</v>
      </c>
    </row>
    <row r="348" ht="14.25" customHeight="1" spans="1:9">
      <c r="A348" s="18">
        <v>43959</v>
      </c>
      <c r="B348" s="19" t="s">
        <v>22</v>
      </c>
      <c r="C348" s="19">
        <v>225076.5</v>
      </c>
      <c r="D348" s="19">
        <v>22846078.5</v>
      </c>
      <c r="E348" s="20">
        <f>VLOOKUP(B348,Лист2!$B:$E,2,FALSE)</f>
        <v>54</v>
      </c>
      <c r="F348" s="20">
        <f>VLOOKUP(B348,Лист2!$B:$E,3,FALSE)</f>
        <v>12306</v>
      </c>
      <c r="G348" s="20">
        <f>VLOOKUP(B348,Лист2!$B:$E,4,FALSE)</f>
        <v>11532</v>
      </c>
      <c r="H348" s="21">
        <f t="shared" si="10"/>
        <v>423075.527777778</v>
      </c>
      <c r="I348" s="28">
        <f t="shared" si="11"/>
        <v>19</v>
      </c>
    </row>
    <row r="349" ht="14.25" customHeight="1" spans="1:9">
      <c r="A349" s="22">
        <v>43958</v>
      </c>
      <c r="B349" s="23" t="s">
        <v>22</v>
      </c>
      <c r="C349" s="23">
        <v>209415</v>
      </c>
      <c r="D349" s="23">
        <v>21463023</v>
      </c>
      <c r="E349" s="24">
        <f>VLOOKUP(B349,Лист2!$B:$E,2,FALSE)</f>
        <v>54</v>
      </c>
      <c r="F349" s="24">
        <f>VLOOKUP(B349,Лист2!$B:$E,3,FALSE)</f>
        <v>12306</v>
      </c>
      <c r="G349" s="24">
        <f>VLOOKUP(B349,Лист2!$B:$E,4,FALSE)</f>
        <v>11532</v>
      </c>
      <c r="H349" s="25">
        <f t="shared" si="10"/>
        <v>397463.388888889</v>
      </c>
      <c r="I349" s="29">
        <f t="shared" si="11"/>
        <v>19</v>
      </c>
    </row>
    <row r="350" ht="14.25" customHeight="1" spans="1:9">
      <c r="A350" s="18">
        <v>43975</v>
      </c>
      <c r="B350" s="19" t="s">
        <v>22</v>
      </c>
      <c r="C350" s="19">
        <v>193719</v>
      </c>
      <c r="D350" s="19">
        <v>19071117</v>
      </c>
      <c r="E350" s="20">
        <f>VLOOKUP(B350,Лист2!$B:$E,2,FALSE)</f>
        <v>54</v>
      </c>
      <c r="F350" s="20">
        <f>VLOOKUP(B350,Лист2!$B:$E,3,FALSE)</f>
        <v>12306</v>
      </c>
      <c r="G350" s="20">
        <f>VLOOKUP(B350,Лист2!$B:$E,4,FALSE)</f>
        <v>11532</v>
      </c>
      <c r="H350" s="21">
        <f t="shared" si="10"/>
        <v>353168.833333333</v>
      </c>
      <c r="I350" s="28">
        <f t="shared" si="11"/>
        <v>21</v>
      </c>
    </row>
    <row r="351" ht="14.25" customHeight="1" spans="1:9">
      <c r="A351" s="22">
        <v>43950</v>
      </c>
      <c r="B351" s="23" t="s">
        <v>23</v>
      </c>
      <c r="C351" s="23">
        <v>12250.5</v>
      </c>
      <c r="D351" s="23">
        <v>981519</v>
      </c>
      <c r="E351" s="24">
        <f>VLOOKUP(B351,Лист2!$B:$E,2,FALSE)</f>
        <v>15</v>
      </c>
      <c r="F351" s="24">
        <f>VLOOKUP(B351,Лист2!$B:$E,3,FALSE)</f>
        <v>636</v>
      </c>
      <c r="G351" s="24">
        <f>VLOOKUP(B351,Лист2!$B:$E,4,FALSE)</f>
        <v>547</v>
      </c>
      <c r="H351" s="25">
        <f t="shared" si="10"/>
        <v>65434.6</v>
      </c>
      <c r="I351" s="29">
        <f t="shared" si="11"/>
        <v>18</v>
      </c>
    </row>
    <row r="352" ht="14.25" customHeight="1" spans="1:9">
      <c r="A352" s="18">
        <v>43949</v>
      </c>
      <c r="B352" s="19" t="s">
        <v>23</v>
      </c>
      <c r="C352" s="19">
        <v>12541.5</v>
      </c>
      <c r="D352" s="19">
        <v>992541</v>
      </c>
      <c r="E352" s="20">
        <f>VLOOKUP(B352,Лист2!$B:$E,2,FALSE)</f>
        <v>15</v>
      </c>
      <c r="F352" s="20">
        <f>VLOOKUP(B352,Лист2!$B:$E,3,FALSE)</f>
        <v>636</v>
      </c>
      <c r="G352" s="20">
        <f>VLOOKUP(B352,Лист2!$B:$E,4,FALSE)</f>
        <v>547</v>
      </c>
      <c r="H352" s="21">
        <f t="shared" si="10"/>
        <v>66169.4</v>
      </c>
      <c r="I352" s="28">
        <f t="shared" si="11"/>
        <v>18</v>
      </c>
    </row>
    <row r="353" ht="14.25" customHeight="1" spans="1:9">
      <c r="A353" s="22">
        <v>43982</v>
      </c>
      <c r="B353" s="23" t="s">
        <v>22</v>
      </c>
      <c r="C353" s="23">
        <v>206758.5</v>
      </c>
      <c r="D353" s="23">
        <v>20717248.5</v>
      </c>
      <c r="E353" s="24">
        <f>VLOOKUP(B353,Лист2!$B:$E,2,FALSE)</f>
        <v>54</v>
      </c>
      <c r="F353" s="24">
        <f>VLOOKUP(B353,Лист2!$B:$E,3,FALSE)</f>
        <v>12306</v>
      </c>
      <c r="G353" s="24">
        <f>VLOOKUP(B353,Лист2!$B:$E,4,FALSE)</f>
        <v>11532</v>
      </c>
      <c r="H353" s="25">
        <f t="shared" si="10"/>
        <v>383652.75</v>
      </c>
      <c r="I353" s="29">
        <f t="shared" si="11"/>
        <v>22</v>
      </c>
    </row>
    <row r="354" ht="14.25" customHeight="1" spans="1:9">
      <c r="A354" s="18">
        <v>43981</v>
      </c>
      <c r="B354" s="19" t="s">
        <v>22</v>
      </c>
      <c r="C354" s="19">
        <v>244734</v>
      </c>
      <c r="D354" s="19">
        <v>24151980</v>
      </c>
      <c r="E354" s="20">
        <f>VLOOKUP(B354,Лист2!$B:$E,2,FALSE)</f>
        <v>54</v>
      </c>
      <c r="F354" s="20">
        <f>VLOOKUP(B354,Лист2!$B:$E,3,FALSE)</f>
        <v>12306</v>
      </c>
      <c r="G354" s="20">
        <f>VLOOKUP(B354,Лист2!$B:$E,4,FALSE)</f>
        <v>11532</v>
      </c>
      <c r="H354" s="21">
        <f t="shared" si="10"/>
        <v>447258.888888889</v>
      </c>
      <c r="I354" s="28">
        <f t="shared" si="11"/>
        <v>22</v>
      </c>
    </row>
    <row r="355" ht="14.25" customHeight="1" spans="1:9">
      <c r="A355" s="22">
        <v>43979</v>
      </c>
      <c r="B355" s="23" t="s">
        <v>22</v>
      </c>
      <c r="C355" s="23">
        <v>191641.5</v>
      </c>
      <c r="D355" s="23">
        <v>19549036.5</v>
      </c>
      <c r="E355" s="24">
        <f>VLOOKUP(B355,Лист2!$B:$E,2,FALSE)</f>
        <v>54</v>
      </c>
      <c r="F355" s="24">
        <f>VLOOKUP(B355,Лист2!$B:$E,3,FALSE)</f>
        <v>12306</v>
      </c>
      <c r="G355" s="24">
        <f>VLOOKUP(B355,Лист2!$B:$E,4,FALSE)</f>
        <v>11532</v>
      </c>
      <c r="H355" s="25">
        <f t="shared" si="10"/>
        <v>362019.194444444</v>
      </c>
      <c r="I355" s="29">
        <f t="shared" si="11"/>
        <v>22</v>
      </c>
    </row>
    <row r="356" ht="14.25" customHeight="1" spans="1:9">
      <c r="A356" s="18">
        <v>43967</v>
      </c>
      <c r="B356" s="19" t="s">
        <v>23</v>
      </c>
      <c r="C356" s="19">
        <v>16368</v>
      </c>
      <c r="D356" s="19">
        <v>1316350.5</v>
      </c>
      <c r="E356" s="20">
        <f>VLOOKUP(B356,Лист2!$B:$E,2,FALSE)</f>
        <v>15</v>
      </c>
      <c r="F356" s="20">
        <f>VLOOKUP(B356,Лист2!$B:$E,3,FALSE)</f>
        <v>636</v>
      </c>
      <c r="G356" s="20">
        <f>VLOOKUP(B356,Лист2!$B:$E,4,FALSE)</f>
        <v>547</v>
      </c>
      <c r="H356" s="21">
        <f t="shared" si="10"/>
        <v>87756.7</v>
      </c>
      <c r="I356" s="28">
        <f t="shared" si="11"/>
        <v>20</v>
      </c>
    </row>
    <row r="357" ht="14.25" customHeight="1" spans="1:9">
      <c r="A357" s="22">
        <v>43970</v>
      </c>
      <c r="B357" s="23" t="s">
        <v>23</v>
      </c>
      <c r="C357" s="23">
        <v>14427</v>
      </c>
      <c r="D357" s="23">
        <v>1126810.5</v>
      </c>
      <c r="E357" s="24">
        <f>VLOOKUP(B357,Лист2!$B:$E,2,FALSE)</f>
        <v>15</v>
      </c>
      <c r="F357" s="24">
        <f>VLOOKUP(B357,Лист2!$B:$E,3,FALSE)</f>
        <v>636</v>
      </c>
      <c r="G357" s="24">
        <f>VLOOKUP(B357,Лист2!$B:$E,4,FALSE)</f>
        <v>547</v>
      </c>
      <c r="H357" s="25">
        <f t="shared" si="10"/>
        <v>75120.7</v>
      </c>
      <c r="I357" s="29">
        <f t="shared" si="11"/>
        <v>21</v>
      </c>
    </row>
    <row r="358" ht="14.25" customHeight="1" spans="1:9">
      <c r="A358" s="18">
        <v>43968</v>
      </c>
      <c r="B358" s="19" t="s">
        <v>23</v>
      </c>
      <c r="C358" s="19">
        <v>13440</v>
      </c>
      <c r="D358" s="19">
        <v>1157529</v>
      </c>
      <c r="E358" s="20">
        <f>VLOOKUP(B358,Лист2!$B:$E,2,FALSE)</f>
        <v>15</v>
      </c>
      <c r="F358" s="20">
        <f>VLOOKUP(B358,Лист2!$B:$E,3,FALSE)</f>
        <v>636</v>
      </c>
      <c r="G358" s="20">
        <f>VLOOKUP(B358,Лист2!$B:$E,4,FALSE)</f>
        <v>547</v>
      </c>
      <c r="H358" s="21">
        <f t="shared" si="10"/>
        <v>77168.6</v>
      </c>
      <c r="I358" s="28">
        <f t="shared" si="11"/>
        <v>20</v>
      </c>
    </row>
    <row r="359" ht="14.25" customHeight="1" spans="1:9">
      <c r="A359" s="22">
        <v>43960</v>
      </c>
      <c r="B359" s="23" t="s">
        <v>23</v>
      </c>
      <c r="C359" s="23">
        <v>11745</v>
      </c>
      <c r="D359" s="23">
        <v>955801.5</v>
      </c>
      <c r="E359" s="24">
        <f>VLOOKUP(B359,Лист2!$B:$E,2,FALSE)</f>
        <v>15</v>
      </c>
      <c r="F359" s="24">
        <f>VLOOKUP(B359,Лист2!$B:$E,3,FALSE)</f>
        <v>636</v>
      </c>
      <c r="G359" s="24">
        <f>VLOOKUP(B359,Лист2!$B:$E,4,FALSE)</f>
        <v>547</v>
      </c>
      <c r="H359" s="25">
        <f t="shared" si="10"/>
        <v>63720.1</v>
      </c>
      <c r="I359" s="29">
        <f t="shared" si="11"/>
        <v>19</v>
      </c>
    </row>
    <row r="360" ht="14.25" customHeight="1" spans="1:9">
      <c r="A360" s="18">
        <v>43955</v>
      </c>
      <c r="B360" s="19" t="s">
        <v>23</v>
      </c>
      <c r="C360" s="19">
        <v>11062.5</v>
      </c>
      <c r="D360" s="19">
        <v>906343.5</v>
      </c>
      <c r="E360" s="20">
        <f>VLOOKUP(B360,Лист2!$B:$E,2,FALSE)</f>
        <v>15</v>
      </c>
      <c r="F360" s="20">
        <f>VLOOKUP(B360,Лист2!$B:$E,3,FALSE)</f>
        <v>636</v>
      </c>
      <c r="G360" s="20">
        <f>VLOOKUP(B360,Лист2!$B:$E,4,FALSE)</f>
        <v>547</v>
      </c>
      <c r="H360" s="21">
        <f t="shared" si="10"/>
        <v>60422.9</v>
      </c>
      <c r="I360" s="28">
        <f t="shared" si="11"/>
        <v>19</v>
      </c>
    </row>
    <row r="361" ht="14.25" customHeight="1" spans="1:9">
      <c r="A361" s="22">
        <v>43953</v>
      </c>
      <c r="B361" s="23" t="s">
        <v>23</v>
      </c>
      <c r="C361" s="23">
        <v>10018.5</v>
      </c>
      <c r="D361" s="23">
        <v>816859.5</v>
      </c>
      <c r="E361" s="24">
        <f>VLOOKUP(B361,Лист2!$B:$E,2,FALSE)</f>
        <v>15</v>
      </c>
      <c r="F361" s="24">
        <f>VLOOKUP(B361,Лист2!$B:$E,3,FALSE)</f>
        <v>636</v>
      </c>
      <c r="G361" s="24">
        <f>VLOOKUP(B361,Лист2!$B:$E,4,FALSE)</f>
        <v>547</v>
      </c>
      <c r="H361" s="25">
        <f t="shared" si="10"/>
        <v>54457.3</v>
      </c>
      <c r="I361" s="29">
        <f t="shared" si="11"/>
        <v>18</v>
      </c>
    </row>
    <row r="362" ht="14.25" customHeight="1" spans="1:9">
      <c r="A362" s="18">
        <v>43977</v>
      </c>
      <c r="B362" s="19" t="s">
        <v>24</v>
      </c>
      <c r="C362" s="19">
        <v>10437</v>
      </c>
      <c r="D362" s="19">
        <v>833815.5</v>
      </c>
      <c r="E362" s="20">
        <f>VLOOKUP(B362,Лист2!$B:$E,2,FALSE)</f>
        <v>7</v>
      </c>
      <c r="F362" s="20">
        <f>VLOOKUP(B362,Лист2!$B:$E,3,FALSE)</f>
        <v>577</v>
      </c>
      <c r="G362" s="20">
        <f>VLOOKUP(B362,Лист2!$B:$E,4,FALSE)</f>
        <v>389</v>
      </c>
      <c r="H362" s="21">
        <f t="shared" si="10"/>
        <v>119116.5</v>
      </c>
      <c r="I362" s="28">
        <f t="shared" si="11"/>
        <v>22</v>
      </c>
    </row>
    <row r="363" ht="14.25" customHeight="1" spans="1:9">
      <c r="A363" s="22">
        <v>43952</v>
      </c>
      <c r="B363" s="23" t="s">
        <v>23</v>
      </c>
      <c r="C363" s="23">
        <v>13644</v>
      </c>
      <c r="D363" s="23">
        <v>1134444</v>
      </c>
      <c r="E363" s="24">
        <f>VLOOKUP(B363,Лист2!$B:$E,2,FALSE)</f>
        <v>15</v>
      </c>
      <c r="F363" s="24">
        <f>VLOOKUP(B363,Лист2!$B:$E,3,FALSE)</f>
        <v>636</v>
      </c>
      <c r="G363" s="24">
        <f>VLOOKUP(B363,Лист2!$B:$E,4,FALSE)</f>
        <v>547</v>
      </c>
      <c r="H363" s="25">
        <f t="shared" si="10"/>
        <v>75629.6</v>
      </c>
      <c r="I363" s="29">
        <f t="shared" si="11"/>
        <v>18</v>
      </c>
    </row>
    <row r="364" ht="14.25" customHeight="1" spans="1:9">
      <c r="A364" s="18">
        <v>43963</v>
      </c>
      <c r="B364" s="19" t="s">
        <v>23</v>
      </c>
      <c r="C364" s="19">
        <v>13443</v>
      </c>
      <c r="D364" s="19">
        <v>1092277.5</v>
      </c>
      <c r="E364" s="20">
        <f>VLOOKUP(B364,Лист2!$B:$E,2,FALSE)</f>
        <v>15</v>
      </c>
      <c r="F364" s="20">
        <f>VLOOKUP(B364,Лист2!$B:$E,3,FALSE)</f>
        <v>636</v>
      </c>
      <c r="G364" s="20">
        <f>VLOOKUP(B364,Лист2!$B:$E,4,FALSE)</f>
        <v>547</v>
      </c>
      <c r="H364" s="21">
        <f t="shared" si="10"/>
        <v>72818.5</v>
      </c>
      <c r="I364" s="28">
        <f t="shared" si="11"/>
        <v>20</v>
      </c>
    </row>
    <row r="365" ht="14.25" customHeight="1" spans="1:9">
      <c r="A365" s="22">
        <v>43972</v>
      </c>
      <c r="B365" s="23" t="s">
        <v>23</v>
      </c>
      <c r="C365" s="23">
        <v>14182.5</v>
      </c>
      <c r="D365" s="23">
        <v>1172574</v>
      </c>
      <c r="E365" s="24">
        <f>VLOOKUP(B365,Лист2!$B:$E,2,FALSE)</f>
        <v>15</v>
      </c>
      <c r="F365" s="24">
        <f>VLOOKUP(B365,Лист2!$B:$E,3,FALSE)</f>
        <v>636</v>
      </c>
      <c r="G365" s="24">
        <f>VLOOKUP(B365,Лист2!$B:$E,4,FALSE)</f>
        <v>547</v>
      </c>
      <c r="H365" s="25">
        <f t="shared" si="10"/>
        <v>78171.6</v>
      </c>
      <c r="I365" s="29">
        <f t="shared" si="11"/>
        <v>21</v>
      </c>
    </row>
    <row r="366" ht="14.25" customHeight="1" spans="1:9">
      <c r="A366" s="18">
        <v>43971</v>
      </c>
      <c r="B366" s="19" t="s">
        <v>23</v>
      </c>
      <c r="C366" s="19">
        <v>14928</v>
      </c>
      <c r="D366" s="19">
        <v>1217749.5</v>
      </c>
      <c r="E366" s="20">
        <f>VLOOKUP(B366,Лист2!$B:$E,2,FALSE)</f>
        <v>15</v>
      </c>
      <c r="F366" s="20">
        <f>VLOOKUP(B366,Лист2!$B:$E,3,FALSE)</f>
        <v>636</v>
      </c>
      <c r="G366" s="20">
        <f>VLOOKUP(B366,Лист2!$B:$E,4,FALSE)</f>
        <v>547</v>
      </c>
      <c r="H366" s="21">
        <f t="shared" si="10"/>
        <v>81183.3</v>
      </c>
      <c r="I366" s="28">
        <f t="shared" si="11"/>
        <v>21</v>
      </c>
    </row>
    <row r="367" ht="14.25" customHeight="1" spans="1:9">
      <c r="A367" s="22">
        <v>43956</v>
      </c>
      <c r="B367" s="23" t="s">
        <v>23</v>
      </c>
      <c r="C367" s="23">
        <v>13941</v>
      </c>
      <c r="D367" s="23">
        <v>1145575.5</v>
      </c>
      <c r="E367" s="24">
        <f>VLOOKUP(B367,Лист2!$B:$E,2,FALSE)</f>
        <v>15</v>
      </c>
      <c r="F367" s="24">
        <f>VLOOKUP(B367,Лист2!$B:$E,3,FALSE)</f>
        <v>636</v>
      </c>
      <c r="G367" s="24">
        <f>VLOOKUP(B367,Лист2!$B:$E,4,FALSE)</f>
        <v>547</v>
      </c>
      <c r="H367" s="25">
        <f t="shared" si="10"/>
        <v>76371.7</v>
      </c>
      <c r="I367" s="29">
        <f t="shared" si="11"/>
        <v>19</v>
      </c>
    </row>
    <row r="368" ht="14.25" customHeight="1" spans="1:9">
      <c r="A368" s="18">
        <v>43964</v>
      </c>
      <c r="B368" s="19" t="s">
        <v>23</v>
      </c>
      <c r="C368" s="19">
        <v>14643</v>
      </c>
      <c r="D368" s="19">
        <v>1172691</v>
      </c>
      <c r="E368" s="20">
        <f>VLOOKUP(B368,Лист2!$B:$E,2,FALSE)</f>
        <v>15</v>
      </c>
      <c r="F368" s="20">
        <f>VLOOKUP(B368,Лист2!$B:$E,3,FALSE)</f>
        <v>636</v>
      </c>
      <c r="G368" s="20">
        <f>VLOOKUP(B368,Лист2!$B:$E,4,FALSE)</f>
        <v>547</v>
      </c>
      <c r="H368" s="21">
        <f t="shared" si="10"/>
        <v>78179.4</v>
      </c>
      <c r="I368" s="28">
        <f t="shared" si="11"/>
        <v>20</v>
      </c>
    </row>
    <row r="369" ht="14.25" customHeight="1" spans="1:9">
      <c r="A369" s="22">
        <v>43954</v>
      </c>
      <c r="B369" s="23" t="s">
        <v>23</v>
      </c>
      <c r="C369" s="23">
        <v>10032</v>
      </c>
      <c r="D369" s="23">
        <v>816150</v>
      </c>
      <c r="E369" s="24">
        <f>VLOOKUP(B369,Лист2!$B:$E,2,FALSE)</f>
        <v>15</v>
      </c>
      <c r="F369" s="24">
        <f>VLOOKUP(B369,Лист2!$B:$E,3,FALSE)</f>
        <v>636</v>
      </c>
      <c r="G369" s="24">
        <f>VLOOKUP(B369,Лист2!$B:$E,4,FALSE)</f>
        <v>547</v>
      </c>
      <c r="H369" s="25">
        <f t="shared" si="10"/>
        <v>54410</v>
      </c>
      <c r="I369" s="29">
        <f t="shared" si="11"/>
        <v>18</v>
      </c>
    </row>
    <row r="370" ht="14.25" customHeight="1" spans="1:9">
      <c r="A370" s="18">
        <v>43957</v>
      </c>
      <c r="B370" s="19" t="s">
        <v>23</v>
      </c>
      <c r="C370" s="19">
        <v>12468</v>
      </c>
      <c r="D370" s="19">
        <v>1016566.5</v>
      </c>
      <c r="E370" s="20">
        <f>VLOOKUP(B370,Лист2!$B:$E,2,FALSE)</f>
        <v>15</v>
      </c>
      <c r="F370" s="20">
        <f>VLOOKUP(B370,Лист2!$B:$E,3,FALSE)</f>
        <v>636</v>
      </c>
      <c r="G370" s="20">
        <f>VLOOKUP(B370,Лист2!$B:$E,4,FALSE)</f>
        <v>547</v>
      </c>
      <c r="H370" s="21">
        <f t="shared" si="10"/>
        <v>67771.1</v>
      </c>
      <c r="I370" s="28">
        <f t="shared" si="11"/>
        <v>19</v>
      </c>
    </row>
    <row r="371" ht="14.25" customHeight="1" spans="1:9">
      <c r="A371" s="22">
        <v>43974</v>
      </c>
      <c r="B371" s="23" t="s">
        <v>23</v>
      </c>
      <c r="C371" s="23">
        <v>17943</v>
      </c>
      <c r="D371" s="23">
        <v>1457391</v>
      </c>
      <c r="E371" s="24">
        <f>VLOOKUP(B371,Лист2!$B:$E,2,FALSE)</f>
        <v>15</v>
      </c>
      <c r="F371" s="24">
        <f>VLOOKUP(B371,Лист2!$B:$E,3,FALSE)</f>
        <v>636</v>
      </c>
      <c r="G371" s="24">
        <f>VLOOKUP(B371,Лист2!$B:$E,4,FALSE)</f>
        <v>547</v>
      </c>
      <c r="H371" s="25">
        <f t="shared" si="10"/>
        <v>97159.4</v>
      </c>
      <c r="I371" s="29">
        <f t="shared" si="11"/>
        <v>21</v>
      </c>
    </row>
    <row r="372" ht="14.25" customHeight="1" spans="1:9">
      <c r="A372" s="18">
        <v>43976</v>
      </c>
      <c r="B372" s="19" t="s">
        <v>23</v>
      </c>
      <c r="C372" s="19">
        <v>15807</v>
      </c>
      <c r="D372" s="19">
        <v>1326705</v>
      </c>
      <c r="E372" s="20">
        <f>VLOOKUP(B372,Лист2!$B:$E,2,FALSE)</f>
        <v>15</v>
      </c>
      <c r="F372" s="20">
        <f>VLOOKUP(B372,Лист2!$B:$E,3,FALSE)</f>
        <v>636</v>
      </c>
      <c r="G372" s="20">
        <f>VLOOKUP(B372,Лист2!$B:$E,4,FALSE)</f>
        <v>547</v>
      </c>
      <c r="H372" s="21">
        <f t="shared" si="10"/>
        <v>88447</v>
      </c>
      <c r="I372" s="28">
        <f t="shared" si="11"/>
        <v>22</v>
      </c>
    </row>
    <row r="373" ht="14.25" customHeight="1" spans="1:9">
      <c r="A373" s="22">
        <v>43951</v>
      </c>
      <c r="B373" s="23" t="s">
        <v>23</v>
      </c>
      <c r="C373" s="23">
        <v>11976</v>
      </c>
      <c r="D373" s="23">
        <v>1004511</v>
      </c>
      <c r="E373" s="24">
        <f>VLOOKUP(B373,Лист2!$B:$E,2,FALSE)</f>
        <v>15</v>
      </c>
      <c r="F373" s="24">
        <f>VLOOKUP(B373,Лист2!$B:$E,3,FALSE)</f>
        <v>636</v>
      </c>
      <c r="G373" s="24">
        <f>VLOOKUP(B373,Лист2!$B:$E,4,FALSE)</f>
        <v>547</v>
      </c>
      <c r="H373" s="25">
        <f t="shared" si="10"/>
        <v>66967.4</v>
      </c>
      <c r="I373" s="29">
        <f t="shared" si="11"/>
        <v>18</v>
      </c>
    </row>
    <row r="374" ht="14.25" customHeight="1" spans="1:9">
      <c r="A374" s="18">
        <v>43961</v>
      </c>
      <c r="B374" s="19" t="s">
        <v>23</v>
      </c>
      <c r="C374" s="19">
        <v>14566.5</v>
      </c>
      <c r="D374" s="19">
        <v>1216557</v>
      </c>
      <c r="E374" s="20">
        <f>VLOOKUP(B374,Лист2!$B:$E,2,FALSE)</f>
        <v>15</v>
      </c>
      <c r="F374" s="20">
        <f>VLOOKUP(B374,Лист2!$B:$E,3,FALSE)</f>
        <v>636</v>
      </c>
      <c r="G374" s="20">
        <f>VLOOKUP(B374,Лист2!$B:$E,4,FALSE)</f>
        <v>547</v>
      </c>
      <c r="H374" s="21">
        <f t="shared" si="10"/>
        <v>81103.8</v>
      </c>
      <c r="I374" s="28">
        <f t="shared" si="11"/>
        <v>19</v>
      </c>
    </row>
    <row r="375" ht="14.25" customHeight="1" spans="1:9">
      <c r="A375" s="22">
        <v>43959</v>
      </c>
      <c r="B375" s="23" t="s">
        <v>23</v>
      </c>
      <c r="C375" s="23">
        <v>12976.5</v>
      </c>
      <c r="D375" s="23">
        <v>1046848.5</v>
      </c>
      <c r="E375" s="24">
        <f>VLOOKUP(B375,Лист2!$B:$E,2,FALSE)</f>
        <v>15</v>
      </c>
      <c r="F375" s="24">
        <f>VLOOKUP(B375,Лист2!$B:$E,3,FALSE)</f>
        <v>636</v>
      </c>
      <c r="G375" s="24">
        <f>VLOOKUP(B375,Лист2!$B:$E,4,FALSE)</f>
        <v>547</v>
      </c>
      <c r="H375" s="25">
        <f t="shared" si="10"/>
        <v>69789.9</v>
      </c>
      <c r="I375" s="29">
        <f t="shared" si="11"/>
        <v>19</v>
      </c>
    </row>
    <row r="376" ht="14.25" customHeight="1" spans="1:9">
      <c r="A376" s="18">
        <v>43958</v>
      </c>
      <c r="B376" s="19" t="s">
        <v>23</v>
      </c>
      <c r="C376" s="19">
        <v>11719.5</v>
      </c>
      <c r="D376" s="19">
        <v>965880</v>
      </c>
      <c r="E376" s="20">
        <f>VLOOKUP(B376,Лист2!$B:$E,2,FALSE)</f>
        <v>15</v>
      </c>
      <c r="F376" s="20">
        <f>VLOOKUP(B376,Лист2!$B:$E,3,FALSE)</f>
        <v>636</v>
      </c>
      <c r="G376" s="20">
        <f>VLOOKUP(B376,Лист2!$B:$E,4,FALSE)</f>
        <v>547</v>
      </c>
      <c r="H376" s="21">
        <f t="shared" si="10"/>
        <v>64392</v>
      </c>
      <c r="I376" s="28">
        <f t="shared" si="11"/>
        <v>19</v>
      </c>
    </row>
    <row r="377" ht="14.25" customHeight="1" spans="1:9">
      <c r="A377" s="22">
        <v>43975</v>
      </c>
      <c r="B377" s="23" t="s">
        <v>23</v>
      </c>
      <c r="C377" s="23">
        <v>17197.5</v>
      </c>
      <c r="D377" s="23">
        <v>1386262.5</v>
      </c>
      <c r="E377" s="24">
        <f>VLOOKUP(B377,Лист2!$B:$E,2,FALSE)</f>
        <v>15</v>
      </c>
      <c r="F377" s="24">
        <f>VLOOKUP(B377,Лист2!$B:$E,3,FALSE)</f>
        <v>636</v>
      </c>
      <c r="G377" s="24">
        <f>VLOOKUP(B377,Лист2!$B:$E,4,FALSE)</f>
        <v>547</v>
      </c>
      <c r="H377" s="25">
        <f t="shared" si="10"/>
        <v>92417.5</v>
      </c>
      <c r="I377" s="29">
        <f t="shared" si="11"/>
        <v>21</v>
      </c>
    </row>
    <row r="378" ht="14.25" customHeight="1" spans="1:9">
      <c r="A378" s="18">
        <v>43977</v>
      </c>
      <c r="B378" s="19" t="s">
        <v>23</v>
      </c>
      <c r="C378" s="19">
        <v>14419.5</v>
      </c>
      <c r="D378" s="19">
        <v>1210456.5</v>
      </c>
      <c r="E378" s="20">
        <f>VLOOKUP(B378,Лист2!$B:$E,2,FALSE)</f>
        <v>15</v>
      </c>
      <c r="F378" s="20">
        <f>VLOOKUP(B378,Лист2!$B:$E,3,FALSE)</f>
        <v>636</v>
      </c>
      <c r="G378" s="20">
        <f>VLOOKUP(B378,Лист2!$B:$E,4,FALSE)</f>
        <v>547</v>
      </c>
      <c r="H378" s="21">
        <f t="shared" si="10"/>
        <v>80697.1</v>
      </c>
      <c r="I378" s="28">
        <f t="shared" si="11"/>
        <v>22</v>
      </c>
    </row>
    <row r="379" ht="14.25" customHeight="1" spans="1:9">
      <c r="A379" s="22">
        <v>43983</v>
      </c>
      <c r="B379" s="23" t="s">
        <v>9</v>
      </c>
      <c r="C379" s="23">
        <v>7816.5</v>
      </c>
      <c r="D379" s="23">
        <v>636345</v>
      </c>
      <c r="E379" s="24">
        <f>VLOOKUP(B379,Лист2!$B:$E,2,FALSE)</f>
        <v>15</v>
      </c>
      <c r="F379" s="24">
        <f>VLOOKUP(B379,Лист2!$B:$E,3,FALSE)</f>
        <v>464</v>
      </c>
      <c r="G379" s="24">
        <f>VLOOKUP(B379,Лист2!$B:$E,4,FALSE)</f>
        <v>390</v>
      </c>
      <c r="H379" s="25">
        <f t="shared" si="10"/>
        <v>42423</v>
      </c>
      <c r="I379" s="29">
        <f t="shared" si="11"/>
        <v>23</v>
      </c>
    </row>
    <row r="380" ht="14.25" customHeight="1" spans="1:9">
      <c r="A380" s="18">
        <v>43982</v>
      </c>
      <c r="B380" s="19" t="s">
        <v>25</v>
      </c>
      <c r="C380" s="19">
        <v>6409.5</v>
      </c>
      <c r="D380" s="19">
        <v>493893</v>
      </c>
      <c r="E380" s="20">
        <f>VLOOKUP(B380,Лист2!$B:$E,2,FALSE)</f>
        <v>9</v>
      </c>
      <c r="F380" s="20">
        <f>VLOOKUP(B380,Лист2!$B:$E,3,FALSE)</f>
        <v>345</v>
      </c>
      <c r="G380" s="20">
        <f>VLOOKUP(B380,Лист2!$B:$E,4,FALSE)</f>
        <v>255</v>
      </c>
      <c r="H380" s="21">
        <f t="shared" si="10"/>
        <v>54877</v>
      </c>
      <c r="I380" s="28">
        <f t="shared" si="11"/>
        <v>22</v>
      </c>
    </row>
    <row r="381" ht="14.25" customHeight="1" spans="1:9">
      <c r="A381" s="22">
        <v>43981</v>
      </c>
      <c r="B381" s="23" t="s">
        <v>24</v>
      </c>
      <c r="C381" s="23">
        <v>11220</v>
      </c>
      <c r="D381" s="23">
        <v>928675.5</v>
      </c>
      <c r="E381" s="24">
        <f>VLOOKUP(B381,Лист2!$B:$E,2,FALSE)</f>
        <v>7</v>
      </c>
      <c r="F381" s="24">
        <f>VLOOKUP(B381,Лист2!$B:$E,3,FALSE)</f>
        <v>577</v>
      </c>
      <c r="G381" s="24">
        <f>VLOOKUP(B381,Лист2!$B:$E,4,FALSE)</f>
        <v>389</v>
      </c>
      <c r="H381" s="25">
        <f t="shared" si="10"/>
        <v>132667.928571429</v>
      </c>
      <c r="I381" s="29">
        <f t="shared" si="11"/>
        <v>22</v>
      </c>
    </row>
    <row r="382" ht="14.25" customHeight="1" spans="1:9">
      <c r="A382" s="18">
        <v>43980</v>
      </c>
      <c r="B382" s="19" t="s">
        <v>9</v>
      </c>
      <c r="C382" s="19">
        <v>8350.5</v>
      </c>
      <c r="D382" s="19">
        <v>651237</v>
      </c>
      <c r="E382" s="20">
        <f>VLOOKUP(B382,Лист2!$B:$E,2,FALSE)</f>
        <v>15</v>
      </c>
      <c r="F382" s="20">
        <f>VLOOKUP(B382,Лист2!$B:$E,3,FALSE)</f>
        <v>464</v>
      </c>
      <c r="G382" s="20">
        <f>VLOOKUP(B382,Лист2!$B:$E,4,FALSE)</f>
        <v>390</v>
      </c>
      <c r="H382" s="21">
        <f t="shared" si="10"/>
        <v>43415.8</v>
      </c>
      <c r="I382" s="28">
        <f t="shared" si="11"/>
        <v>22</v>
      </c>
    </row>
    <row r="383" ht="14.25" customHeight="1" spans="1:9">
      <c r="A383" s="22">
        <v>43979</v>
      </c>
      <c r="B383" s="23" t="s">
        <v>24</v>
      </c>
      <c r="C383" s="23">
        <v>8428.5</v>
      </c>
      <c r="D383" s="23">
        <v>694669.5</v>
      </c>
      <c r="E383" s="24">
        <f>VLOOKUP(B383,Лист2!$B:$E,2,FALSE)</f>
        <v>7</v>
      </c>
      <c r="F383" s="24">
        <f>VLOOKUP(B383,Лист2!$B:$E,3,FALSE)</f>
        <v>577</v>
      </c>
      <c r="G383" s="24">
        <f>VLOOKUP(B383,Лист2!$B:$E,4,FALSE)</f>
        <v>389</v>
      </c>
      <c r="H383" s="25">
        <f t="shared" si="10"/>
        <v>99238.5</v>
      </c>
      <c r="I383" s="29">
        <f t="shared" si="11"/>
        <v>22</v>
      </c>
    </row>
    <row r="384" ht="14.25" customHeight="1" spans="1:9">
      <c r="A384" s="18">
        <v>43978</v>
      </c>
      <c r="B384" s="19" t="s">
        <v>10</v>
      </c>
      <c r="C384" s="19">
        <v>32817</v>
      </c>
      <c r="D384" s="19">
        <v>3015751.5</v>
      </c>
      <c r="E384" s="20">
        <f>VLOOKUP(B384,Лист2!$B:$E,2,FALSE)</f>
        <v>18</v>
      </c>
      <c r="F384" s="20">
        <f>VLOOKUP(B384,Лист2!$B:$E,3,FALSE)</f>
        <v>1539</v>
      </c>
      <c r="G384" s="20">
        <f>VLOOKUP(B384,Лист2!$B:$E,4,FALSE)</f>
        <v>1404</v>
      </c>
      <c r="H384" s="21">
        <f t="shared" si="10"/>
        <v>167541.75</v>
      </c>
      <c r="I384" s="28">
        <f t="shared" si="11"/>
        <v>22</v>
      </c>
    </row>
    <row r="385" ht="14.25" customHeight="1" spans="1:9">
      <c r="A385" s="22">
        <v>43973</v>
      </c>
      <c r="B385" s="23" t="s">
        <v>10</v>
      </c>
      <c r="C385" s="23">
        <v>36031.5</v>
      </c>
      <c r="D385" s="23">
        <v>3091069.5</v>
      </c>
      <c r="E385" s="24">
        <f>VLOOKUP(B385,Лист2!$B:$E,2,FALSE)</f>
        <v>18</v>
      </c>
      <c r="F385" s="24">
        <f>VLOOKUP(B385,Лист2!$B:$E,3,FALSE)</f>
        <v>1539</v>
      </c>
      <c r="G385" s="24">
        <f>VLOOKUP(B385,Лист2!$B:$E,4,FALSE)</f>
        <v>1404</v>
      </c>
      <c r="H385" s="25">
        <f t="shared" si="10"/>
        <v>171726.083333333</v>
      </c>
      <c r="I385" s="29">
        <f t="shared" si="11"/>
        <v>21</v>
      </c>
    </row>
    <row r="386" ht="14.25" customHeight="1" spans="1:9">
      <c r="A386" s="18">
        <v>43982</v>
      </c>
      <c r="B386" s="19" t="s">
        <v>26</v>
      </c>
      <c r="C386" s="19">
        <v>5127</v>
      </c>
      <c r="D386" s="19">
        <v>468835.5</v>
      </c>
      <c r="E386" s="20">
        <f>VLOOKUP(B386,Лист2!$B:$E,2,FALSE)</f>
        <v>6</v>
      </c>
      <c r="F386" s="20">
        <f>VLOOKUP(B386,Лист2!$B:$E,3,FALSE)</f>
        <v>261</v>
      </c>
      <c r="G386" s="20">
        <f>VLOOKUP(B386,Лист2!$B:$E,4,FALSE)</f>
        <v>188</v>
      </c>
      <c r="H386" s="21">
        <f t="shared" si="10"/>
        <v>78139.25</v>
      </c>
      <c r="I386" s="28">
        <f t="shared" si="11"/>
        <v>22</v>
      </c>
    </row>
    <row r="387" ht="14.25" customHeight="1" spans="1:9">
      <c r="A387" s="22">
        <v>43962</v>
      </c>
      <c r="B387" s="23" t="s">
        <v>10</v>
      </c>
      <c r="C387" s="23">
        <v>27187.5</v>
      </c>
      <c r="D387" s="23">
        <v>2479396.5</v>
      </c>
      <c r="E387" s="24">
        <f>VLOOKUP(B387,Лист2!$B:$E,2,FALSE)</f>
        <v>18</v>
      </c>
      <c r="F387" s="24">
        <f>VLOOKUP(B387,Лист2!$B:$E,3,FALSE)</f>
        <v>1539</v>
      </c>
      <c r="G387" s="24">
        <f>VLOOKUP(B387,Лист2!$B:$E,4,FALSE)</f>
        <v>1404</v>
      </c>
      <c r="H387" s="25">
        <f t="shared" ref="H387:H450" si="12">IF(E387=0,0,D387/E387)</f>
        <v>137744.25</v>
      </c>
      <c r="I387" s="29">
        <f t="shared" ref="I387:I450" si="13">WEEKNUM(A387,2)</f>
        <v>20</v>
      </c>
    </row>
    <row r="388" ht="14.25" customHeight="1" spans="1:9">
      <c r="A388" s="18">
        <v>43981</v>
      </c>
      <c r="B388" s="19" t="s">
        <v>23</v>
      </c>
      <c r="C388" s="19">
        <v>20688</v>
      </c>
      <c r="D388" s="19">
        <v>1773154.5</v>
      </c>
      <c r="E388" s="20">
        <f>VLOOKUP(B388,Лист2!$B:$E,2,FALSE)</f>
        <v>15</v>
      </c>
      <c r="F388" s="20">
        <f>VLOOKUP(B388,Лист2!$B:$E,3,FALSE)</f>
        <v>636</v>
      </c>
      <c r="G388" s="20">
        <f>VLOOKUP(B388,Лист2!$B:$E,4,FALSE)</f>
        <v>547</v>
      </c>
      <c r="H388" s="21">
        <f t="shared" si="12"/>
        <v>118210.3</v>
      </c>
      <c r="I388" s="28">
        <f t="shared" si="13"/>
        <v>22</v>
      </c>
    </row>
    <row r="389" ht="14.25" customHeight="1" spans="1:9">
      <c r="A389" s="22">
        <v>43979</v>
      </c>
      <c r="B389" s="23" t="s">
        <v>23</v>
      </c>
      <c r="C389" s="23">
        <v>15678</v>
      </c>
      <c r="D389" s="23">
        <v>1387443</v>
      </c>
      <c r="E389" s="24">
        <f>VLOOKUP(B389,Лист2!$B:$E,2,FALSE)</f>
        <v>15</v>
      </c>
      <c r="F389" s="24">
        <f>VLOOKUP(B389,Лист2!$B:$E,3,FALSE)</f>
        <v>636</v>
      </c>
      <c r="G389" s="24">
        <f>VLOOKUP(B389,Лист2!$B:$E,4,FALSE)</f>
        <v>547</v>
      </c>
      <c r="H389" s="25">
        <f t="shared" si="12"/>
        <v>92496.2</v>
      </c>
      <c r="I389" s="29">
        <f t="shared" si="13"/>
        <v>22</v>
      </c>
    </row>
    <row r="390" ht="14.25" customHeight="1" spans="1:9">
      <c r="A390" s="18">
        <v>43969</v>
      </c>
      <c r="B390" s="19" t="s">
        <v>10</v>
      </c>
      <c r="C390" s="19">
        <v>31329</v>
      </c>
      <c r="D390" s="19">
        <v>2826379.5</v>
      </c>
      <c r="E390" s="20">
        <f>VLOOKUP(B390,Лист2!$B:$E,2,FALSE)</f>
        <v>18</v>
      </c>
      <c r="F390" s="20">
        <f>VLOOKUP(B390,Лист2!$B:$E,3,FALSE)</f>
        <v>1539</v>
      </c>
      <c r="G390" s="20">
        <f>VLOOKUP(B390,Лист2!$B:$E,4,FALSE)</f>
        <v>1404</v>
      </c>
      <c r="H390" s="21">
        <f t="shared" si="12"/>
        <v>157021.083333333</v>
      </c>
      <c r="I390" s="28">
        <f t="shared" si="13"/>
        <v>21</v>
      </c>
    </row>
    <row r="391" ht="14.25" customHeight="1" spans="1:9">
      <c r="A391" s="22">
        <v>43965</v>
      </c>
      <c r="B391" s="23" t="s">
        <v>10</v>
      </c>
      <c r="C391" s="23">
        <v>29658</v>
      </c>
      <c r="D391" s="23">
        <v>2703132</v>
      </c>
      <c r="E391" s="24">
        <f>VLOOKUP(B391,Лист2!$B:$E,2,FALSE)</f>
        <v>18</v>
      </c>
      <c r="F391" s="24">
        <f>VLOOKUP(B391,Лист2!$B:$E,3,FALSE)</f>
        <v>1539</v>
      </c>
      <c r="G391" s="24">
        <f>VLOOKUP(B391,Лист2!$B:$E,4,FALSE)</f>
        <v>1404</v>
      </c>
      <c r="H391" s="25">
        <f t="shared" si="12"/>
        <v>150174</v>
      </c>
      <c r="I391" s="29">
        <f t="shared" si="13"/>
        <v>20</v>
      </c>
    </row>
    <row r="392" ht="14.25" customHeight="1" spans="1:9">
      <c r="A392" s="18">
        <v>43966</v>
      </c>
      <c r="B392" s="19" t="s">
        <v>10</v>
      </c>
      <c r="C392" s="19">
        <v>34150.5</v>
      </c>
      <c r="D392" s="19">
        <v>3038293.5</v>
      </c>
      <c r="E392" s="20">
        <f>VLOOKUP(B392,Лист2!$B:$E,2,FALSE)</f>
        <v>18</v>
      </c>
      <c r="F392" s="20">
        <f>VLOOKUP(B392,Лист2!$B:$E,3,FALSE)</f>
        <v>1539</v>
      </c>
      <c r="G392" s="20">
        <f>VLOOKUP(B392,Лист2!$B:$E,4,FALSE)</f>
        <v>1404</v>
      </c>
      <c r="H392" s="21">
        <f t="shared" si="12"/>
        <v>168794.083333333</v>
      </c>
      <c r="I392" s="28">
        <f t="shared" si="13"/>
        <v>20</v>
      </c>
    </row>
    <row r="393" ht="14.25" customHeight="1" spans="1:9">
      <c r="A393" s="22">
        <v>43983</v>
      </c>
      <c r="B393" s="23" t="s">
        <v>10</v>
      </c>
      <c r="C393" s="23">
        <v>31947</v>
      </c>
      <c r="D393" s="23">
        <v>2945035.5</v>
      </c>
      <c r="E393" s="24">
        <f>VLOOKUP(B393,Лист2!$B:$E,2,FALSE)</f>
        <v>18</v>
      </c>
      <c r="F393" s="24">
        <f>VLOOKUP(B393,Лист2!$B:$E,3,FALSE)</f>
        <v>1539</v>
      </c>
      <c r="G393" s="24">
        <f>VLOOKUP(B393,Лист2!$B:$E,4,FALSE)</f>
        <v>1404</v>
      </c>
      <c r="H393" s="25">
        <f t="shared" si="12"/>
        <v>163613.083333333</v>
      </c>
      <c r="I393" s="29">
        <f t="shared" si="13"/>
        <v>23</v>
      </c>
    </row>
    <row r="394" ht="14.25" customHeight="1" spans="1:9">
      <c r="A394" s="18">
        <v>43982</v>
      </c>
      <c r="B394" s="19" t="s">
        <v>24</v>
      </c>
      <c r="C394" s="19">
        <v>10416</v>
      </c>
      <c r="D394" s="19">
        <v>866023.5</v>
      </c>
      <c r="E394" s="20">
        <f>VLOOKUP(B394,Лист2!$B:$E,2,FALSE)</f>
        <v>7</v>
      </c>
      <c r="F394" s="20">
        <f>VLOOKUP(B394,Лист2!$B:$E,3,FALSE)</f>
        <v>577</v>
      </c>
      <c r="G394" s="20">
        <f>VLOOKUP(B394,Лист2!$B:$E,4,FALSE)</f>
        <v>389</v>
      </c>
      <c r="H394" s="21">
        <f t="shared" si="12"/>
        <v>123717.642857143</v>
      </c>
      <c r="I394" s="28">
        <f t="shared" si="13"/>
        <v>22</v>
      </c>
    </row>
    <row r="395" ht="14.25" customHeight="1" spans="1:9">
      <c r="A395" s="22">
        <v>43980</v>
      </c>
      <c r="B395" s="23" t="s">
        <v>10</v>
      </c>
      <c r="C395" s="23">
        <v>35431.5</v>
      </c>
      <c r="D395" s="23">
        <v>3193167</v>
      </c>
      <c r="E395" s="24">
        <f>VLOOKUP(B395,Лист2!$B:$E,2,FALSE)</f>
        <v>18</v>
      </c>
      <c r="F395" s="24">
        <f>VLOOKUP(B395,Лист2!$B:$E,3,FALSE)</f>
        <v>1539</v>
      </c>
      <c r="G395" s="24">
        <f>VLOOKUP(B395,Лист2!$B:$E,4,FALSE)</f>
        <v>1404</v>
      </c>
      <c r="H395" s="25">
        <f t="shared" si="12"/>
        <v>177398.166666667</v>
      </c>
      <c r="I395" s="29">
        <f t="shared" si="13"/>
        <v>22</v>
      </c>
    </row>
    <row r="396" ht="14.25" customHeight="1" spans="1:9">
      <c r="A396" s="18">
        <v>43978</v>
      </c>
      <c r="B396" s="19" t="s">
        <v>11</v>
      </c>
      <c r="C396" s="19">
        <v>78544.5</v>
      </c>
      <c r="D396" s="19">
        <v>6701083.5</v>
      </c>
      <c r="E396" s="20">
        <f>VLOOKUP(B396,Лист2!$B:$E,2,FALSE)</f>
        <v>31</v>
      </c>
      <c r="F396" s="20">
        <f>VLOOKUP(B396,Лист2!$B:$E,3,FALSE)</f>
        <v>5465</v>
      </c>
      <c r="G396" s="20">
        <f>VLOOKUP(B396,Лист2!$B:$E,4,FALSE)</f>
        <v>5096</v>
      </c>
      <c r="H396" s="21">
        <f t="shared" si="12"/>
        <v>216163.983870968</v>
      </c>
      <c r="I396" s="28">
        <f t="shared" si="13"/>
        <v>22</v>
      </c>
    </row>
    <row r="397" ht="14.25" customHeight="1" spans="1:9">
      <c r="A397" s="22">
        <v>43973</v>
      </c>
      <c r="B397" s="23" t="s">
        <v>11</v>
      </c>
      <c r="C397" s="23">
        <v>97963.5</v>
      </c>
      <c r="D397" s="23">
        <v>7728465</v>
      </c>
      <c r="E397" s="24">
        <f>VLOOKUP(B397,Лист2!$B:$E,2,FALSE)</f>
        <v>31</v>
      </c>
      <c r="F397" s="24">
        <f>VLOOKUP(B397,Лист2!$B:$E,3,FALSE)</f>
        <v>5465</v>
      </c>
      <c r="G397" s="24">
        <f>VLOOKUP(B397,Лист2!$B:$E,4,FALSE)</f>
        <v>5096</v>
      </c>
      <c r="H397" s="25">
        <f t="shared" si="12"/>
        <v>249305.322580645</v>
      </c>
      <c r="I397" s="29">
        <f t="shared" si="13"/>
        <v>21</v>
      </c>
    </row>
    <row r="398" ht="14.25" customHeight="1" spans="1:9">
      <c r="A398" s="18">
        <v>43983</v>
      </c>
      <c r="B398" s="19" t="s">
        <v>11</v>
      </c>
      <c r="C398" s="19">
        <v>77269.5</v>
      </c>
      <c r="D398" s="19">
        <v>6829921.5</v>
      </c>
      <c r="E398" s="20">
        <f>VLOOKUP(B398,Лист2!$B:$E,2,FALSE)</f>
        <v>31</v>
      </c>
      <c r="F398" s="20">
        <f>VLOOKUP(B398,Лист2!$B:$E,3,FALSE)</f>
        <v>5465</v>
      </c>
      <c r="G398" s="20">
        <f>VLOOKUP(B398,Лист2!$B:$E,4,FALSE)</f>
        <v>5096</v>
      </c>
      <c r="H398" s="21">
        <f t="shared" si="12"/>
        <v>220320.048387097</v>
      </c>
      <c r="I398" s="28">
        <f t="shared" si="13"/>
        <v>23</v>
      </c>
    </row>
    <row r="399" ht="14.25" customHeight="1" spans="1:9">
      <c r="A399" s="22">
        <v>43982</v>
      </c>
      <c r="B399" s="23" t="s">
        <v>23</v>
      </c>
      <c r="C399" s="23">
        <v>16143</v>
      </c>
      <c r="D399" s="23">
        <v>1423410</v>
      </c>
      <c r="E399" s="24">
        <f>VLOOKUP(B399,Лист2!$B:$E,2,FALSE)</f>
        <v>15</v>
      </c>
      <c r="F399" s="24">
        <f>VLOOKUP(B399,Лист2!$B:$E,3,FALSE)</f>
        <v>636</v>
      </c>
      <c r="G399" s="24">
        <f>VLOOKUP(B399,Лист2!$B:$E,4,FALSE)</f>
        <v>547</v>
      </c>
      <c r="H399" s="25">
        <f t="shared" si="12"/>
        <v>94894</v>
      </c>
      <c r="I399" s="29">
        <f t="shared" si="13"/>
        <v>22</v>
      </c>
    </row>
    <row r="400" ht="14.25" customHeight="1" spans="1:9">
      <c r="A400" s="18">
        <v>43962</v>
      </c>
      <c r="B400" s="19" t="s">
        <v>11</v>
      </c>
      <c r="C400" s="19">
        <v>72220.5</v>
      </c>
      <c r="D400" s="19">
        <v>6398719.5</v>
      </c>
      <c r="E400" s="20">
        <f>VLOOKUP(B400,Лист2!$B:$E,2,FALSE)</f>
        <v>31</v>
      </c>
      <c r="F400" s="20">
        <f>VLOOKUP(B400,Лист2!$B:$E,3,FALSE)</f>
        <v>5465</v>
      </c>
      <c r="G400" s="20">
        <f>VLOOKUP(B400,Лист2!$B:$E,4,FALSE)</f>
        <v>5096</v>
      </c>
      <c r="H400" s="21">
        <f t="shared" si="12"/>
        <v>206410.306451613</v>
      </c>
      <c r="I400" s="28">
        <f t="shared" si="13"/>
        <v>20</v>
      </c>
    </row>
    <row r="401" ht="14.25" customHeight="1" spans="1:9">
      <c r="A401" s="22">
        <v>43969</v>
      </c>
      <c r="B401" s="23" t="s">
        <v>11</v>
      </c>
      <c r="C401" s="23">
        <v>78058.5</v>
      </c>
      <c r="D401" s="23">
        <v>6609714</v>
      </c>
      <c r="E401" s="24">
        <f>VLOOKUP(B401,Лист2!$B:$E,2,FALSE)</f>
        <v>31</v>
      </c>
      <c r="F401" s="24">
        <f>VLOOKUP(B401,Лист2!$B:$E,3,FALSE)</f>
        <v>5465</v>
      </c>
      <c r="G401" s="24">
        <f>VLOOKUP(B401,Лист2!$B:$E,4,FALSE)</f>
        <v>5096</v>
      </c>
      <c r="H401" s="25">
        <f t="shared" si="12"/>
        <v>213216.580645161</v>
      </c>
      <c r="I401" s="29">
        <f t="shared" si="13"/>
        <v>21</v>
      </c>
    </row>
    <row r="402" ht="14.25" customHeight="1" spans="1:9">
      <c r="A402" s="18">
        <v>43965</v>
      </c>
      <c r="B402" s="19" t="s">
        <v>11</v>
      </c>
      <c r="C402" s="19">
        <v>70498.5</v>
      </c>
      <c r="D402" s="19">
        <v>6053649</v>
      </c>
      <c r="E402" s="20">
        <f>VLOOKUP(B402,Лист2!$B:$E,2,FALSE)</f>
        <v>31</v>
      </c>
      <c r="F402" s="20">
        <f>VLOOKUP(B402,Лист2!$B:$E,3,FALSE)</f>
        <v>5465</v>
      </c>
      <c r="G402" s="20">
        <f>VLOOKUP(B402,Лист2!$B:$E,4,FALSE)</f>
        <v>5096</v>
      </c>
      <c r="H402" s="21">
        <f t="shared" si="12"/>
        <v>195279</v>
      </c>
      <c r="I402" s="28">
        <f t="shared" si="13"/>
        <v>20</v>
      </c>
    </row>
    <row r="403" ht="14.25" customHeight="1" spans="1:9">
      <c r="A403" s="22">
        <v>43966</v>
      </c>
      <c r="B403" s="23" t="s">
        <v>11</v>
      </c>
      <c r="C403" s="23">
        <v>78961.5</v>
      </c>
      <c r="D403" s="23">
        <v>6876454.5</v>
      </c>
      <c r="E403" s="24">
        <f>VLOOKUP(B403,Лист2!$B:$E,2,FALSE)</f>
        <v>31</v>
      </c>
      <c r="F403" s="24">
        <f>VLOOKUP(B403,Лист2!$B:$E,3,FALSE)</f>
        <v>5465</v>
      </c>
      <c r="G403" s="24">
        <f>VLOOKUP(B403,Лист2!$B:$E,4,FALSE)</f>
        <v>5096</v>
      </c>
      <c r="H403" s="25">
        <f t="shared" si="12"/>
        <v>221821.112903226</v>
      </c>
      <c r="I403" s="29">
        <f t="shared" si="13"/>
        <v>20</v>
      </c>
    </row>
    <row r="404" ht="14.25" customHeight="1" spans="1:9">
      <c r="A404" s="18">
        <v>43978</v>
      </c>
      <c r="B404" s="19" t="s">
        <v>12</v>
      </c>
      <c r="C404" s="19">
        <v>12490.5</v>
      </c>
      <c r="D404" s="19">
        <v>1054798.5</v>
      </c>
      <c r="E404" s="20">
        <f>VLOOKUP(B404,Лист2!$B:$E,2,FALSE)</f>
        <v>10</v>
      </c>
      <c r="F404" s="20">
        <f>VLOOKUP(B404,Лист2!$B:$E,3,FALSE)</f>
        <v>580</v>
      </c>
      <c r="G404" s="20">
        <f>VLOOKUP(B404,Лист2!$B:$E,4,FALSE)</f>
        <v>506</v>
      </c>
      <c r="H404" s="21">
        <f t="shared" si="12"/>
        <v>105479.85</v>
      </c>
      <c r="I404" s="28">
        <f t="shared" si="13"/>
        <v>22</v>
      </c>
    </row>
    <row r="405" ht="14.25" customHeight="1" spans="1:9">
      <c r="A405" s="22">
        <v>43973</v>
      </c>
      <c r="B405" s="23" t="s">
        <v>12</v>
      </c>
      <c r="C405" s="23">
        <v>18036</v>
      </c>
      <c r="D405" s="23">
        <v>1455049.5</v>
      </c>
      <c r="E405" s="24">
        <f>VLOOKUP(B405,Лист2!$B:$E,2,FALSE)</f>
        <v>10</v>
      </c>
      <c r="F405" s="24">
        <f>VLOOKUP(B405,Лист2!$B:$E,3,FALSE)</f>
        <v>580</v>
      </c>
      <c r="G405" s="24">
        <f>VLOOKUP(B405,Лист2!$B:$E,4,FALSE)</f>
        <v>506</v>
      </c>
      <c r="H405" s="25">
        <f t="shared" si="12"/>
        <v>145504.95</v>
      </c>
      <c r="I405" s="29">
        <f t="shared" si="13"/>
        <v>21</v>
      </c>
    </row>
    <row r="406" ht="14.25" customHeight="1" spans="1:9">
      <c r="A406" s="18">
        <v>43983</v>
      </c>
      <c r="B406" s="19" t="s">
        <v>12</v>
      </c>
      <c r="C406" s="19">
        <v>11416.5</v>
      </c>
      <c r="D406" s="19">
        <v>1007742</v>
      </c>
      <c r="E406" s="20">
        <f>VLOOKUP(B406,Лист2!$B:$E,2,FALSE)</f>
        <v>10</v>
      </c>
      <c r="F406" s="20">
        <f>VLOOKUP(B406,Лист2!$B:$E,3,FALSE)</f>
        <v>580</v>
      </c>
      <c r="G406" s="20">
        <f>VLOOKUP(B406,Лист2!$B:$E,4,FALSE)</f>
        <v>506</v>
      </c>
      <c r="H406" s="21">
        <f t="shared" si="12"/>
        <v>100774.2</v>
      </c>
      <c r="I406" s="28">
        <f t="shared" si="13"/>
        <v>23</v>
      </c>
    </row>
    <row r="407" ht="14.25" customHeight="1" spans="1:9">
      <c r="A407" s="22">
        <v>43962</v>
      </c>
      <c r="B407" s="23" t="s">
        <v>12</v>
      </c>
      <c r="C407" s="23">
        <v>9007.5</v>
      </c>
      <c r="D407" s="23">
        <v>734335.5</v>
      </c>
      <c r="E407" s="24">
        <f>VLOOKUP(B407,Лист2!$B:$E,2,FALSE)</f>
        <v>10</v>
      </c>
      <c r="F407" s="24">
        <f>VLOOKUP(B407,Лист2!$B:$E,3,FALSE)</f>
        <v>580</v>
      </c>
      <c r="G407" s="24">
        <f>VLOOKUP(B407,Лист2!$B:$E,4,FALSE)</f>
        <v>506</v>
      </c>
      <c r="H407" s="25">
        <f t="shared" si="12"/>
        <v>73433.55</v>
      </c>
      <c r="I407" s="29">
        <f t="shared" si="13"/>
        <v>20</v>
      </c>
    </row>
    <row r="408" ht="14.25" customHeight="1" spans="1:9">
      <c r="A408" s="18">
        <v>43980</v>
      </c>
      <c r="B408" s="19" t="s">
        <v>11</v>
      </c>
      <c r="C408" s="19">
        <v>87552</v>
      </c>
      <c r="D408" s="19">
        <v>7387116</v>
      </c>
      <c r="E408" s="20">
        <f>VLOOKUP(B408,Лист2!$B:$E,2,FALSE)</f>
        <v>31</v>
      </c>
      <c r="F408" s="20">
        <f>VLOOKUP(B408,Лист2!$B:$E,3,FALSE)</f>
        <v>5465</v>
      </c>
      <c r="G408" s="20">
        <f>VLOOKUP(B408,Лист2!$B:$E,4,FALSE)</f>
        <v>5096</v>
      </c>
      <c r="H408" s="21">
        <f t="shared" si="12"/>
        <v>238294.064516129</v>
      </c>
      <c r="I408" s="28">
        <f t="shared" si="13"/>
        <v>22</v>
      </c>
    </row>
    <row r="409" ht="14.25" customHeight="1" spans="1:9">
      <c r="A409" s="22">
        <v>43969</v>
      </c>
      <c r="B409" s="23" t="s">
        <v>12</v>
      </c>
      <c r="C409" s="23">
        <v>11680.5</v>
      </c>
      <c r="D409" s="23">
        <v>936427.5</v>
      </c>
      <c r="E409" s="24">
        <f>VLOOKUP(B409,Лист2!$B:$E,2,FALSE)</f>
        <v>10</v>
      </c>
      <c r="F409" s="24">
        <f>VLOOKUP(B409,Лист2!$B:$E,3,FALSE)</f>
        <v>580</v>
      </c>
      <c r="G409" s="24">
        <f>VLOOKUP(B409,Лист2!$B:$E,4,FALSE)</f>
        <v>506</v>
      </c>
      <c r="H409" s="25">
        <f t="shared" si="12"/>
        <v>93642.75</v>
      </c>
      <c r="I409" s="29">
        <f t="shared" si="13"/>
        <v>21</v>
      </c>
    </row>
    <row r="410" ht="14.25" customHeight="1" spans="1:9">
      <c r="A410" s="18">
        <v>43965</v>
      </c>
      <c r="B410" s="19" t="s">
        <v>12</v>
      </c>
      <c r="C410" s="19">
        <v>12037.5</v>
      </c>
      <c r="D410" s="19">
        <v>981564</v>
      </c>
      <c r="E410" s="20">
        <f>VLOOKUP(B410,Лист2!$B:$E,2,FALSE)</f>
        <v>10</v>
      </c>
      <c r="F410" s="20">
        <f>VLOOKUP(B410,Лист2!$B:$E,3,FALSE)</f>
        <v>580</v>
      </c>
      <c r="G410" s="20">
        <f>VLOOKUP(B410,Лист2!$B:$E,4,FALSE)</f>
        <v>506</v>
      </c>
      <c r="H410" s="21">
        <f t="shared" si="12"/>
        <v>98156.4</v>
      </c>
      <c r="I410" s="28">
        <f t="shared" si="13"/>
        <v>20</v>
      </c>
    </row>
    <row r="411" ht="14.25" customHeight="1" spans="1:9">
      <c r="A411" s="22">
        <v>43966</v>
      </c>
      <c r="B411" s="23" t="s">
        <v>12</v>
      </c>
      <c r="C411" s="23">
        <v>14421</v>
      </c>
      <c r="D411" s="23">
        <v>1150579.5</v>
      </c>
      <c r="E411" s="24">
        <f>VLOOKUP(B411,Лист2!$B:$E,2,FALSE)</f>
        <v>10</v>
      </c>
      <c r="F411" s="24">
        <f>VLOOKUP(B411,Лист2!$B:$E,3,FALSE)</f>
        <v>580</v>
      </c>
      <c r="G411" s="24">
        <f>VLOOKUP(B411,Лист2!$B:$E,4,FALSE)</f>
        <v>506</v>
      </c>
      <c r="H411" s="25">
        <f t="shared" si="12"/>
        <v>115057.95</v>
      </c>
      <c r="I411" s="29">
        <f t="shared" si="13"/>
        <v>20</v>
      </c>
    </row>
    <row r="412" ht="14.25" customHeight="1" spans="1:9">
      <c r="A412" s="18">
        <v>43980</v>
      </c>
      <c r="B412" s="19" t="s">
        <v>12</v>
      </c>
      <c r="C412" s="19">
        <v>14823</v>
      </c>
      <c r="D412" s="19">
        <v>1273464</v>
      </c>
      <c r="E412" s="20">
        <f>VLOOKUP(B412,Лист2!$B:$E,2,FALSE)</f>
        <v>10</v>
      </c>
      <c r="F412" s="20">
        <f>VLOOKUP(B412,Лист2!$B:$E,3,FALSE)</f>
        <v>580</v>
      </c>
      <c r="G412" s="20">
        <f>VLOOKUP(B412,Лист2!$B:$E,4,FALSE)</f>
        <v>506</v>
      </c>
      <c r="H412" s="21">
        <f t="shared" si="12"/>
        <v>127346.4</v>
      </c>
      <c r="I412" s="28">
        <f t="shared" si="13"/>
        <v>22</v>
      </c>
    </row>
    <row r="413" ht="14.25" customHeight="1" spans="1:9">
      <c r="A413" s="22">
        <v>43978</v>
      </c>
      <c r="B413" s="23" t="s">
        <v>13</v>
      </c>
      <c r="C413" s="23">
        <v>31257</v>
      </c>
      <c r="D413" s="23">
        <v>2924133</v>
      </c>
      <c r="E413" s="24">
        <f>VLOOKUP(B413,Лист2!$B:$E,2,FALSE)</f>
        <v>17</v>
      </c>
      <c r="F413" s="24">
        <f>VLOOKUP(B413,Лист2!$B:$E,3,FALSE)</f>
        <v>1439</v>
      </c>
      <c r="G413" s="24">
        <f>VLOOKUP(B413,Лист2!$B:$E,4,FALSE)</f>
        <v>1265</v>
      </c>
      <c r="H413" s="25">
        <f t="shared" si="12"/>
        <v>172007.823529412</v>
      </c>
      <c r="I413" s="29">
        <f t="shared" si="13"/>
        <v>22</v>
      </c>
    </row>
    <row r="414" ht="14.25" customHeight="1" spans="1:9">
      <c r="A414" s="18">
        <v>43973</v>
      </c>
      <c r="B414" s="19" t="s">
        <v>13</v>
      </c>
      <c r="C414" s="19">
        <v>38074.5</v>
      </c>
      <c r="D414" s="19">
        <v>3414180</v>
      </c>
      <c r="E414" s="20">
        <f>VLOOKUP(B414,Лист2!$B:$E,2,FALSE)</f>
        <v>17</v>
      </c>
      <c r="F414" s="20">
        <f>VLOOKUP(B414,Лист2!$B:$E,3,FALSE)</f>
        <v>1439</v>
      </c>
      <c r="G414" s="20">
        <f>VLOOKUP(B414,Лист2!$B:$E,4,FALSE)</f>
        <v>1265</v>
      </c>
      <c r="H414" s="21">
        <f t="shared" si="12"/>
        <v>200834.117647059</v>
      </c>
      <c r="I414" s="28">
        <f t="shared" si="13"/>
        <v>21</v>
      </c>
    </row>
    <row r="415" ht="14.25" customHeight="1" spans="1:9">
      <c r="A415" s="22">
        <v>43983</v>
      </c>
      <c r="B415" s="23" t="s">
        <v>13</v>
      </c>
      <c r="C415" s="23">
        <v>32170.5</v>
      </c>
      <c r="D415" s="23">
        <v>3013512</v>
      </c>
      <c r="E415" s="24">
        <f>VLOOKUP(B415,Лист2!$B:$E,2,FALSE)</f>
        <v>17</v>
      </c>
      <c r="F415" s="24">
        <f>VLOOKUP(B415,Лист2!$B:$E,3,FALSE)</f>
        <v>1439</v>
      </c>
      <c r="G415" s="24">
        <f>VLOOKUP(B415,Лист2!$B:$E,4,FALSE)</f>
        <v>1265</v>
      </c>
      <c r="H415" s="25">
        <f t="shared" si="12"/>
        <v>177265.411764706</v>
      </c>
      <c r="I415" s="29">
        <f t="shared" si="13"/>
        <v>23</v>
      </c>
    </row>
    <row r="416" ht="14.25" customHeight="1" spans="1:9">
      <c r="A416" s="18">
        <v>43962</v>
      </c>
      <c r="B416" s="19" t="s">
        <v>13</v>
      </c>
      <c r="C416" s="19">
        <v>42397.5</v>
      </c>
      <c r="D416" s="19">
        <v>3911979</v>
      </c>
      <c r="E416" s="20">
        <f>VLOOKUP(B416,Лист2!$B:$E,2,FALSE)</f>
        <v>17</v>
      </c>
      <c r="F416" s="20">
        <f>VLOOKUP(B416,Лист2!$B:$E,3,FALSE)</f>
        <v>1439</v>
      </c>
      <c r="G416" s="20">
        <f>VLOOKUP(B416,Лист2!$B:$E,4,FALSE)</f>
        <v>1265</v>
      </c>
      <c r="H416" s="21">
        <f t="shared" si="12"/>
        <v>230116.411764706</v>
      </c>
      <c r="I416" s="28">
        <f t="shared" si="13"/>
        <v>20</v>
      </c>
    </row>
    <row r="417" ht="14.25" customHeight="1" spans="1:9">
      <c r="A417" s="22">
        <v>43969</v>
      </c>
      <c r="B417" s="23" t="s">
        <v>13</v>
      </c>
      <c r="C417" s="23">
        <v>28668</v>
      </c>
      <c r="D417" s="23">
        <v>2588148</v>
      </c>
      <c r="E417" s="24">
        <f>VLOOKUP(B417,Лист2!$B:$E,2,FALSE)</f>
        <v>17</v>
      </c>
      <c r="F417" s="24">
        <f>VLOOKUP(B417,Лист2!$B:$E,3,FALSE)</f>
        <v>1439</v>
      </c>
      <c r="G417" s="24">
        <f>VLOOKUP(B417,Лист2!$B:$E,4,FALSE)</f>
        <v>1265</v>
      </c>
      <c r="H417" s="25">
        <f t="shared" si="12"/>
        <v>152244</v>
      </c>
      <c r="I417" s="29">
        <f t="shared" si="13"/>
        <v>21</v>
      </c>
    </row>
    <row r="418" ht="14.25" customHeight="1" spans="1:9">
      <c r="A418" s="18">
        <v>43965</v>
      </c>
      <c r="B418" s="19" t="s">
        <v>13</v>
      </c>
      <c r="C418" s="19">
        <v>27411</v>
      </c>
      <c r="D418" s="19">
        <v>2441520</v>
      </c>
      <c r="E418" s="20">
        <f>VLOOKUP(B418,Лист2!$B:$E,2,FALSE)</f>
        <v>17</v>
      </c>
      <c r="F418" s="20">
        <f>VLOOKUP(B418,Лист2!$B:$E,3,FALSE)</f>
        <v>1439</v>
      </c>
      <c r="G418" s="20">
        <f>VLOOKUP(B418,Лист2!$B:$E,4,FALSE)</f>
        <v>1265</v>
      </c>
      <c r="H418" s="21">
        <f t="shared" si="12"/>
        <v>143618.823529412</v>
      </c>
      <c r="I418" s="28">
        <f t="shared" si="13"/>
        <v>20</v>
      </c>
    </row>
    <row r="419" ht="14.25" customHeight="1" spans="1:9">
      <c r="A419" s="22">
        <v>43966</v>
      </c>
      <c r="B419" s="23" t="s">
        <v>13</v>
      </c>
      <c r="C419" s="23">
        <v>32854.5</v>
      </c>
      <c r="D419" s="23">
        <v>2949078</v>
      </c>
      <c r="E419" s="24">
        <f>VLOOKUP(B419,Лист2!$B:$E,2,FALSE)</f>
        <v>17</v>
      </c>
      <c r="F419" s="24">
        <f>VLOOKUP(B419,Лист2!$B:$E,3,FALSE)</f>
        <v>1439</v>
      </c>
      <c r="G419" s="24">
        <f>VLOOKUP(B419,Лист2!$B:$E,4,FALSE)</f>
        <v>1265</v>
      </c>
      <c r="H419" s="25">
        <f t="shared" si="12"/>
        <v>173475.176470588</v>
      </c>
      <c r="I419" s="29">
        <f t="shared" si="13"/>
        <v>20</v>
      </c>
    </row>
    <row r="420" ht="14.25" customHeight="1" spans="1:9">
      <c r="A420" s="18">
        <v>43980</v>
      </c>
      <c r="B420" s="19" t="s">
        <v>13</v>
      </c>
      <c r="C420" s="19">
        <v>35346</v>
      </c>
      <c r="D420" s="19">
        <v>3258054</v>
      </c>
      <c r="E420" s="20">
        <f>VLOOKUP(B420,Лист2!$B:$E,2,FALSE)</f>
        <v>17</v>
      </c>
      <c r="F420" s="20">
        <f>VLOOKUP(B420,Лист2!$B:$E,3,FALSE)</f>
        <v>1439</v>
      </c>
      <c r="G420" s="20">
        <f>VLOOKUP(B420,Лист2!$B:$E,4,FALSE)</f>
        <v>1265</v>
      </c>
      <c r="H420" s="21">
        <f t="shared" si="12"/>
        <v>191650.235294118</v>
      </c>
      <c r="I420" s="28">
        <f t="shared" si="13"/>
        <v>22</v>
      </c>
    </row>
    <row r="421" ht="14.25" customHeight="1" spans="1:9">
      <c r="A421" s="22">
        <v>43978</v>
      </c>
      <c r="B421" s="23" t="s">
        <v>14</v>
      </c>
      <c r="C421" s="23">
        <v>286558.5</v>
      </c>
      <c r="D421" s="23">
        <v>29256993</v>
      </c>
      <c r="E421" s="24">
        <f>VLOOKUP(B421,Лист2!$B:$E,2,FALSE)</f>
        <v>128</v>
      </c>
      <c r="F421" s="24">
        <f>VLOOKUP(B421,Лист2!$B:$E,3,FALSE)</f>
        <v>16450</v>
      </c>
      <c r="G421" s="24">
        <f>VLOOKUP(B421,Лист2!$B:$E,4,FALSE)</f>
        <v>15320</v>
      </c>
      <c r="H421" s="25">
        <f t="shared" si="12"/>
        <v>228570.2578125</v>
      </c>
      <c r="I421" s="29">
        <f t="shared" si="13"/>
        <v>22</v>
      </c>
    </row>
    <row r="422" ht="14.25" customHeight="1" spans="1:9">
      <c r="A422" s="18">
        <v>43973</v>
      </c>
      <c r="B422" s="19" t="s">
        <v>14</v>
      </c>
      <c r="C422" s="19">
        <v>304092</v>
      </c>
      <c r="D422" s="19">
        <v>29465769</v>
      </c>
      <c r="E422" s="20">
        <f>VLOOKUP(B422,Лист2!$B:$E,2,FALSE)</f>
        <v>128</v>
      </c>
      <c r="F422" s="20">
        <f>VLOOKUP(B422,Лист2!$B:$E,3,FALSE)</f>
        <v>16450</v>
      </c>
      <c r="G422" s="20">
        <f>VLOOKUP(B422,Лист2!$B:$E,4,FALSE)</f>
        <v>15320</v>
      </c>
      <c r="H422" s="21">
        <f t="shared" si="12"/>
        <v>230201.3203125</v>
      </c>
      <c r="I422" s="28">
        <f t="shared" si="13"/>
        <v>21</v>
      </c>
    </row>
    <row r="423" ht="14.25" customHeight="1" spans="1:9">
      <c r="A423" s="22">
        <v>43983</v>
      </c>
      <c r="B423" s="23" t="s">
        <v>14</v>
      </c>
      <c r="C423" s="23">
        <v>272926.5</v>
      </c>
      <c r="D423" s="23">
        <v>27770092.5</v>
      </c>
      <c r="E423" s="24">
        <f>VLOOKUP(B423,Лист2!$B:$E,2,FALSE)</f>
        <v>128</v>
      </c>
      <c r="F423" s="24">
        <f>VLOOKUP(B423,Лист2!$B:$E,3,FALSE)</f>
        <v>16450</v>
      </c>
      <c r="G423" s="24">
        <f>VLOOKUP(B423,Лист2!$B:$E,4,FALSE)</f>
        <v>15320</v>
      </c>
      <c r="H423" s="25">
        <f t="shared" si="12"/>
        <v>216953.84765625</v>
      </c>
      <c r="I423" s="29">
        <f t="shared" si="13"/>
        <v>23</v>
      </c>
    </row>
    <row r="424" ht="14.25" customHeight="1" spans="1:9">
      <c r="A424" s="18">
        <v>43962</v>
      </c>
      <c r="B424" s="19" t="s">
        <v>14</v>
      </c>
      <c r="C424" s="19">
        <v>237099</v>
      </c>
      <c r="D424" s="19">
        <v>24628233.22395</v>
      </c>
      <c r="E424" s="20">
        <f>VLOOKUP(B424,Лист2!$B:$E,2,FALSE)</f>
        <v>128</v>
      </c>
      <c r="F424" s="20">
        <f>VLOOKUP(B424,Лист2!$B:$E,3,FALSE)</f>
        <v>16450</v>
      </c>
      <c r="G424" s="20">
        <f>VLOOKUP(B424,Лист2!$B:$E,4,FALSE)</f>
        <v>15320</v>
      </c>
      <c r="H424" s="21">
        <f t="shared" si="12"/>
        <v>192408.072062109</v>
      </c>
      <c r="I424" s="28">
        <f t="shared" si="13"/>
        <v>20</v>
      </c>
    </row>
    <row r="425" ht="14.25" customHeight="1" spans="1:9">
      <c r="A425" s="22">
        <v>43969</v>
      </c>
      <c r="B425" s="23" t="s">
        <v>14</v>
      </c>
      <c r="C425" s="23">
        <v>273900</v>
      </c>
      <c r="D425" s="23">
        <v>27535284.1476</v>
      </c>
      <c r="E425" s="24">
        <f>VLOOKUP(B425,Лист2!$B:$E,2,FALSE)</f>
        <v>128</v>
      </c>
      <c r="F425" s="24">
        <f>VLOOKUP(B425,Лист2!$B:$E,3,FALSE)</f>
        <v>16450</v>
      </c>
      <c r="G425" s="24">
        <f>VLOOKUP(B425,Лист2!$B:$E,4,FALSE)</f>
        <v>15320</v>
      </c>
      <c r="H425" s="25">
        <f t="shared" si="12"/>
        <v>215119.407403125</v>
      </c>
      <c r="I425" s="29">
        <f t="shared" si="13"/>
        <v>21</v>
      </c>
    </row>
    <row r="426" ht="14.25" customHeight="1" spans="1:9">
      <c r="A426" s="18">
        <v>43965</v>
      </c>
      <c r="B426" s="19" t="s">
        <v>14</v>
      </c>
      <c r="C426" s="19">
        <v>274059</v>
      </c>
      <c r="D426" s="19">
        <v>28181292</v>
      </c>
      <c r="E426" s="20">
        <f>VLOOKUP(B426,Лист2!$B:$E,2,FALSE)</f>
        <v>128</v>
      </c>
      <c r="F426" s="20">
        <f>VLOOKUP(B426,Лист2!$B:$E,3,FALSE)</f>
        <v>16450</v>
      </c>
      <c r="G426" s="20">
        <f>VLOOKUP(B426,Лист2!$B:$E,4,FALSE)</f>
        <v>15320</v>
      </c>
      <c r="H426" s="21">
        <f t="shared" si="12"/>
        <v>220166.34375</v>
      </c>
      <c r="I426" s="28">
        <f t="shared" si="13"/>
        <v>20</v>
      </c>
    </row>
    <row r="427" ht="14.25" customHeight="1" spans="1:9">
      <c r="A427" s="22">
        <v>43966</v>
      </c>
      <c r="B427" s="23" t="s">
        <v>14</v>
      </c>
      <c r="C427" s="23">
        <v>318816</v>
      </c>
      <c r="D427" s="23">
        <v>32354331</v>
      </c>
      <c r="E427" s="24">
        <f>VLOOKUP(B427,Лист2!$B:$E,2,FALSE)</f>
        <v>128</v>
      </c>
      <c r="F427" s="24">
        <f>VLOOKUP(B427,Лист2!$B:$E,3,FALSE)</f>
        <v>16450</v>
      </c>
      <c r="G427" s="24">
        <f>VLOOKUP(B427,Лист2!$B:$E,4,FALSE)</f>
        <v>15320</v>
      </c>
      <c r="H427" s="25">
        <f t="shared" si="12"/>
        <v>252768.2109375</v>
      </c>
      <c r="I427" s="29">
        <f t="shared" si="13"/>
        <v>20</v>
      </c>
    </row>
    <row r="428" ht="14.25" customHeight="1" spans="1:9">
      <c r="A428" s="18">
        <v>43978</v>
      </c>
      <c r="B428" s="19" t="s">
        <v>15</v>
      </c>
      <c r="C428" s="19">
        <v>370012.5</v>
      </c>
      <c r="D428" s="19">
        <v>39034861.5</v>
      </c>
      <c r="E428" s="20">
        <f>VLOOKUP(B428,Лист2!$B:$E,2,FALSE)</f>
        <v>125</v>
      </c>
      <c r="F428" s="20">
        <f>VLOOKUP(B428,Лист2!$B:$E,3,FALSE)</f>
        <v>20914</v>
      </c>
      <c r="G428" s="20">
        <f>VLOOKUP(B428,Лист2!$B:$E,4,FALSE)</f>
        <v>19479</v>
      </c>
      <c r="H428" s="21">
        <f t="shared" si="12"/>
        <v>312278.892</v>
      </c>
      <c r="I428" s="28">
        <f t="shared" si="13"/>
        <v>22</v>
      </c>
    </row>
    <row r="429" ht="14.25" customHeight="1" spans="1:9">
      <c r="A429" s="22">
        <v>43973</v>
      </c>
      <c r="B429" s="23" t="s">
        <v>15</v>
      </c>
      <c r="C429" s="23">
        <v>393018</v>
      </c>
      <c r="D429" s="23">
        <v>39498373.5</v>
      </c>
      <c r="E429" s="24">
        <f>VLOOKUP(B429,Лист2!$B:$E,2,FALSE)</f>
        <v>125</v>
      </c>
      <c r="F429" s="24">
        <f>VLOOKUP(B429,Лист2!$B:$E,3,FALSE)</f>
        <v>20914</v>
      </c>
      <c r="G429" s="24">
        <f>VLOOKUP(B429,Лист2!$B:$E,4,FALSE)</f>
        <v>19479</v>
      </c>
      <c r="H429" s="25">
        <f t="shared" si="12"/>
        <v>315986.988</v>
      </c>
      <c r="I429" s="29">
        <f t="shared" si="13"/>
        <v>21</v>
      </c>
    </row>
    <row r="430" ht="14.25" customHeight="1" spans="1:9">
      <c r="A430" s="18">
        <v>43983</v>
      </c>
      <c r="B430" s="19" t="s">
        <v>15</v>
      </c>
      <c r="C430" s="19">
        <v>349699.5</v>
      </c>
      <c r="D430" s="19">
        <v>37257840.18135</v>
      </c>
      <c r="E430" s="20">
        <f>VLOOKUP(B430,Лист2!$B:$E,2,FALSE)</f>
        <v>125</v>
      </c>
      <c r="F430" s="20">
        <f>VLOOKUP(B430,Лист2!$B:$E,3,FALSE)</f>
        <v>20914</v>
      </c>
      <c r="G430" s="20">
        <f>VLOOKUP(B430,Лист2!$B:$E,4,FALSE)</f>
        <v>19479</v>
      </c>
      <c r="H430" s="21">
        <f t="shared" si="12"/>
        <v>298062.7214508</v>
      </c>
      <c r="I430" s="28">
        <f t="shared" si="13"/>
        <v>23</v>
      </c>
    </row>
    <row r="431" ht="14.25" customHeight="1" spans="1:9">
      <c r="A431" s="22">
        <v>43962</v>
      </c>
      <c r="B431" s="23" t="s">
        <v>15</v>
      </c>
      <c r="C431" s="23">
        <v>318565.5</v>
      </c>
      <c r="D431" s="23">
        <v>33781581</v>
      </c>
      <c r="E431" s="24">
        <f>VLOOKUP(B431,Лист2!$B:$E,2,FALSE)</f>
        <v>125</v>
      </c>
      <c r="F431" s="24">
        <f>VLOOKUP(B431,Лист2!$B:$E,3,FALSE)</f>
        <v>20914</v>
      </c>
      <c r="G431" s="24">
        <f>VLOOKUP(B431,Лист2!$B:$E,4,FALSE)</f>
        <v>19479</v>
      </c>
      <c r="H431" s="25">
        <f t="shared" si="12"/>
        <v>270252.648</v>
      </c>
      <c r="I431" s="29">
        <f t="shared" si="13"/>
        <v>20</v>
      </c>
    </row>
    <row r="432" ht="14.25" customHeight="1" spans="1:9">
      <c r="A432" s="18">
        <v>43980</v>
      </c>
      <c r="B432" s="19" t="s">
        <v>14</v>
      </c>
      <c r="C432" s="19">
        <v>422965.5</v>
      </c>
      <c r="D432" s="19">
        <v>41767140.105</v>
      </c>
      <c r="E432" s="20">
        <f>VLOOKUP(B432,Лист2!$B:$E,2,FALSE)</f>
        <v>128</v>
      </c>
      <c r="F432" s="20">
        <f>VLOOKUP(B432,Лист2!$B:$E,3,FALSE)</f>
        <v>16450</v>
      </c>
      <c r="G432" s="20">
        <f>VLOOKUP(B432,Лист2!$B:$E,4,FALSE)</f>
        <v>15320</v>
      </c>
      <c r="H432" s="21">
        <f t="shared" si="12"/>
        <v>326305.782070313</v>
      </c>
      <c r="I432" s="28">
        <f t="shared" si="13"/>
        <v>22</v>
      </c>
    </row>
    <row r="433" ht="14.25" customHeight="1" spans="1:9">
      <c r="A433" s="22">
        <v>43969</v>
      </c>
      <c r="B433" s="23" t="s">
        <v>15</v>
      </c>
      <c r="C433" s="23">
        <v>355081.5</v>
      </c>
      <c r="D433" s="23">
        <v>36876888</v>
      </c>
      <c r="E433" s="24">
        <f>VLOOKUP(B433,Лист2!$B:$E,2,FALSE)</f>
        <v>125</v>
      </c>
      <c r="F433" s="24">
        <f>VLOOKUP(B433,Лист2!$B:$E,3,FALSE)</f>
        <v>20914</v>
      </c>
      <c r="G433" s="24">
        <f>VLOOKUP(B433,Лист2!$B:$E,4,FALSE)</f>
        <v>19479</v>
      </c>
      <c r="H433" s="25">
        <f t="shared" si="12"/>
        <v>295015.104</v>
      </c>
      <c r="I433" s="29">
        <f t="shared" si="13"/>
        <v>21</v>
      </c>
    </row>
    <row r="434" ht="14.25" customHeight="1" spans="1:9">
      <c r="A434" s="18">
        <v>43965</v>
      </c>
      <c r="B434" s="19" t="s">
        <v>15</v>
      </c>
      <c r="C434" s="19">
        <v>358387.5</v>
      </c>
      <c r="D434" s="19">
        <v>37963150.5</v>
      </c>
      <c r="E434" s="20">
        <f>VLOOKUP(B434,Лист2!$B:$E,2,FALSE)</f>
        <v>125</v>
      </c>
      <c r="F434" s="20">
        <f>VLOOKUP(B434,Лист2!$B:$E,3,FALSE)</f>
        <v>20914</v>
      </c>
      <c r="G434" s="20">
        <f>VLOOKUP(B434,Лист2!$B:$E,4,FALSE)</f>
        <v>19479</v>
      </c>
      <c r="H434" s="21">
        <f t="shared" si="12"/>
        <v>303705.204</v>
      </c>
      <c r="I434" s="28">
        <f t="shared" si="13"/>
        <v>20</v>
      </c>
    </row>
    <row r="435" ht="14.25" customHeight="1" spans="1:9">
      <c r="A435" s="22">
        <v>43966</v>
      </c>
      <c r="B435" s="23" t="s">
        <v>15</v>
      </c>
      <c r="C435" s="23">
        <v>403261.5</v>
      </c>
      <c r="D435" s="23">
        <v>42271377</v>
      </c>
      <c r="E435" s="24">
        <f>VLOOKUP(B435,Лист2!$B:$E,2,FALSE)</f>
        <v>125</v>
      </c>
      <c r="F435" s="24">
        <f>VLOOKUP(B435,Лист2!$B:$E,3,FALSE)</f>
        <v>20914</v>
      </c>
      <c r="G435" s="24">
        <f>VLOOKUP(B435,Лист2!$B:$E,4,FALSE)</f>
        <v>19479</v>
      </c>
      <c r="H435" s="25">
        <f t="shared" si="12"/>
        <v>338171.016</v>
      </c>
      <c r="I435" s="29">
        <f t="shared" si="13"/>
        <v>20</v>
      </c>
    </row>
    <row r="436" ht="14.25" customHeight="1" spans="1:9">
      <c r="A436" s="18">
        <v>43978</v>
      </c>
      <c r="B436" s="19" t="s">
        <v>16</v>
      </c>
      <c r="C436" s="19">
        <v>69010.5</v>
      </c>
      <c r="D436" s="19">
        <v>5985894</v>
      </c>
      <c r="E436" s="20">
        <f>VLOOKUP(B436,Лист2!$B:$E,2,FALSE)</f>
        <v>36</v>
      </c>
      <c r="F436" s="20">
        <f>VLOOKUP(B436,Лист2!$B:$E,3,FALSE)</f>
        <v>4923</v>
      </c>
      <c r="G436" s="20">
        <f>VLOOKUP(B436,Лист2!$B:$E,4,FALSE)</f>
        <v>4560</v>
      </c>
      <c r="H436" s="21">
        <f t="shared" si="12"/>
        <v>166274.833333333</v>
      </c>
      <c r="I436" s="28">
        <f t="shared" si="13"/>
        <v>22</v>
      </c>
    </row>
    <row r="437" ht="14.25" customHeight="1" spans="1:9">
      <c r="A437" s="22">
        <v>43973</v>
      </c>
      <c r="B437" s="23" t="s">
        <v>16</v>
      </c>
      <c r="C437" s="23">
        <v>75820.5</v>
      </c>
      <c r="D437" s="23">
        <v>5943489</v>
      </c>
      <c r="E437" s="24">
        <f>VLOOKUP(B437,Лист2!$B:$E,2,FALSE)</f>
        <v>36</v>
      </c>
      <c r="F437" s="24">
        <f>VLOOKUP(B437,Лист2!$B:$E,3,FALSE)</f>
        <v>4923</v>
      </c>
      <c r="G437" s="24">
        <f>VLOOKUP(B437,Лист2!$B:$E,4,FALSE)</f>
        <v>4560</v>
      </c>
      <c r="H437" s="25">
        <f t="shared" si="12"/>
        <v>165096.916666667</v>
      </c>
      <c r="I437" s="29">
        <f t="shared" si="13"/>
        <v>21</v>
      </c>
    </row>
    <row r="438" ht="14.25" customHeight="1" spans="1:9">
      <c r="A438" s="18">
        <v>43983</v>
      </c>
      <c r="B438" s="19" t="s">
        <v>16</v>
      </c>
      <c r="C438" s="19">
        <v>64740</v>
      </c>
      <c r="D438" s="19">
        <v>5800290</v>
      </c>
      <c r="E438" s="20">
        <f>VLOOKUP(B438,Лист2!$B:$E,2,FALSE)</f>
        <v>36</v>
      </c>
      <c r="F438" s="20">
        <f>VLOOKUP(B438,Лист2!$B:$E,3,FALSE)</f>
        <v>4923</v>
      </c>
      <c r="G438" s="20">
        <f>VLOOKUP(B438,Лист2!$B:$E,4,FALSE)</f>
        <v>4560</v>
      </c>
      <c r="H438" s="21">
        <f t="shared" si="12"/>
        <v>161119.166666667</v>
      </c>
      <c r="I438" s="28">
        <f t="shared" si="13"/>
        <v>23</v>
      </c>
    </row>
    <row r="439" ht="14.25" customHeight="1" spans="1:9">
      <c r="A439" s="22">
        <v>43962</v>
      </c>
      <c r="B439" s="23" t="s">
        <v>16</v>
      </c>
      <c r="C439" s="23">
        <v>59574</v>
      </c>
      <c r="D439" s="23">
        <v>5178169.5</v>
      </c>
      <c r="E439" s="24">
        <f>VLOOKUP(B439,Лист2!$B:$E,2,FALSE)</f>
        <v>36</v>
      </c>
      <c r="F439" s="24">
        <f>VLOOKUP(B439,Лист2!$B:$E,3,FALSE)</f>
        <v>4923</v>
      </c>
      <c r="G439" s="24">
        <f>VLOOKUP(B439,Лист2!$B:$E,4,FALSE)</f>
        <v>4560</v>
      </c>
      <c r="H439" s="25">
        <f t="shared" si="12"/>
        <v>143838.041666667</v>
      </c>
      <c r="I439" s="29">
        <f t="shared" si="13"/>
        <v>20</v>
      </c>
    </row>
    <row r="440" ht="14.25" customHeight="1" spans="1:9">
      <c r="A440" s="18">
        <v>43980</v>
      </c>
      <c r="B440" s="19" t="s">
        <v>15</v>
      </c>
      <c r="C440" s="19">
        <v>524481</v>
      </c>
      <c r="D440" s="19">
        <v>54172029</v>
      </c>
      <c r="E440" s="20">
        <f>VLOOKUP(B440,Лист2!$B:$E,2,FALSE)</f>
        <v>125</v>
      </c>
      <c r="F440" s="20">
        <f>VLOOKUP(B440,Лист2!$B:$E,3,FALSE)</f>
        <v>20914</v>
      </c>
      <c r="G440" s="20">
        <f>VLOOKUP(B440,Лист2!$B:$E,4,FALSE)</f>
        <v>19479</v>
      </c>
      <c r="H440" s="21">
        <f t="shared" si="12"/>
        <v>433376.232</v>
      </c>
      <c r="I440" s="28">
        <f t="shared" si="13"/>
        <v>22</v>
      </c>
    </row>
    <row r="441" ht="14.25" customHeight="1" spans="1:9">
      <c r="A441" s="22">
        <v>43969</v>
      </c>
      <c r="B441" s="23" t="s">
        <v>16</v>
      </c>
      <c r="C441" s="23">
        <v>70278</v>
      </c>
      <c r="D441" s="23">
        <v>5798476.5</v>
      </c>
      <c r="E441" s="24">
        <f>VLOOKUP(B441,Лист2!$B:$E,2,FALSE)</f>
        <v>36</v>
      </c>
      <c r="F441" s="24">
        <f>VLOOKUP(B441,Лист2!$B:$E,3,FALSE)</f>
        <v>4923</v>
      </c>
      <c r="G441" s="24">
        <f>VLOOKUP(B441,Лист2!$B:$E,4,FALSE)</f>
        <v>4560</v>
      </c>
      <c r="H441" s="25">
        <f t="shared" si="12"/>
        <v>161068.791666667</v>
      </c>
      <c r="I441" s="29">
        <f t="shared" si="13"/>
        <v>21</v>
      </c>
    </row>
    <row r="442" ht="14.25" customHeight="1" spans="1:9">
      <c r="A442" s="18">
        <v>43965</v>
      </c>
      <c r="B442" s="19" t="s">
        <v>16</v>
      </c>
      <c r="C442" s="19">
        <v>63645</v>
      </c>
      <c r="D442" s="19">
        <v>5366602.5</v>
      </c>
      <c r="E442" s="20">
        <f>VLOOKUP(B442,Лист2!$B:$E,2,FALSE)</f>
        <v>36</v>
      </c>
      <c r="F442" s="20">
        <f>VLOOKUP(B442,Лист2!$B:$E,3,FALSE)</f>
        <v>4923</v>
      </c>
      <c r="G442" s="20">
        <f>VLOOKUP(B442,Лист2!$B:$E,4,FALSE)</f>
        <v>4560</v>
      </c>
      <c r="H442" s="21">
        <f t="shared" si="12"/>
        <v>149072.291666667</v>
      </c>
      <c r="I442" s="28">
        <f t="shared" si="13"/>
        <v>20</v>
      </c>
    </row>
    <row r="443" ht="14.25" customHeight="1" spans="1:9">
      <c r="A443" s="22">
        <v>43966</v>
      </c>
      <c r="B443" s="23" t="s">
        <v>16</v>
      </c>
      <c r="C443" s="23">
        <v>75642</v>
      </c>
      <c r="D443" s="23">
        <v>6293952</v>
      </c>
      <c r="E443" s="24">
        <f>VLOOKUP(B443,Лист2!$B:$E,2,FALSE)</f>
        <v>36</v>
      </c>
      <c r="F443" s="24">
        <f>VLOOKUP(B443,Лист2!$B:$E,3,FALSE)</f>
        <v>4923</v>
      </c>
      <c r="G443" s="24">
        <f>VLOOKUP(B443,Лист2!$B:$E,4,FALSE)</f>
        <v>4560</v>
      </c>
      <c r="H443" s="25">
        <f t="shared" si="12"/>
        <v>174832</v>
      </c>
      <c r="I443" s="29">
        <f t="shared" si="13"/>
        <v>20</v>
      </c>
    </row>
    <row r="444" ht="14.25" customHeight="1" spans="1:9">
      <c r="A444" s="18">
        <v>43978</v>
      </c>
      <c r="B444" s="19" t="s">
        <v>17</v>
      </c>
      <c r="C444" s="19">
        <v>40420.5</v>
      </c>
      <c r="D444" s="19">
        <v>3780852</v>
      </c>
      <c r="E444" s="20">
        <f>VLOOKUP(B444,Лист2!$B:$E,2,FALSE)</f>
        <v>19</v>
      </c>
      <c r="F444" s="20">
        <f>VLOOKUP(B444,Лист2!$B:$E,3,FALSE)</f>
        <v>1846</v>
      </c>
      <c r="G444" s="20">
        <f>VLOOKUP(B444,Лист2!$B:$E,4,FALSE)</f>
        <v>1681</v>
      </c>
      <c r="H444" s="21">
        <f t="shared" si="12"/>
        <v>198992.210526316</v>
      </c>
      <c r="I444" s="28">
        <f t="shared" si="13"/>
        <v>22</v>
      </c>
    </row>
    <row r="445" ht="14.25" customHeight="1" spans="1:9">
      <c r="A445" s="22">
        <v>43973</v>
      </c>
      <c r="B445" s="23" t="s">
        <v>17</v>
      </c>
      <c r="C445" s="23">
        <v>53838</v>
      </c>
      <c r="D445" s="23">
        <v>4840833</v>
      </c>
      <c r="E445" s="24">
        <f>VLOOKUP(B445,Лист2!$B:$E,2,FALSE)</f>
        <v>19</v>
      </c>
      <c r="F445" s="24">
        <f>VLOOKUP(B445,Лист2!$B:$E,3,FALSE)</f>
        <v>1846</v>
      </c>
      <c r="G445" s="24">
        <f>VLOOKUP(B445,Лист2!$B:$E,4,FALSE)</f>
        <v>1681</v>
      </c>
      <c r="H445" s="25">
        <f t="shared" si="12"/>
        <v>254780.684210526</v>
      </c>
      <c r="I445" s="29">
        <f t="shared" si="13"/>
        <v>21</v>
      </c>
    </row>
    <row r="446" ht="14.25" customHeight="1" spans="1:9">
      <c r="A446" s="18">
        <v>43983</v>
      </c>
      <c r="B446" s="19" t="s">
        <v>17</v>
      </c>
      <c r="C446" s="19">
        <v>40528.5</v>
      </c>
      <c r="D446" s="19">
        <v>3865251</v>
      </c>
      <c r="E446" s="20">
        <f>VLOOKUP(B446,Лист2!$B:$E,2,FALSE)</f>
        <v>19</v>
      </c>
      <c r="F446" s="20">
        <f>VLOOKUP(B446,Лист2!$B:$E,3,FALSE)</f>
        <v>1846</v>
      </c>
      <c r="G446" s="20">
        <f>VLOOKUP(B446,Лист2!$B:$E,4,FALSE)</f>
        <v>1681</v>
      </c>
      <c r="H446" s="21">
        <f t="shared" si="12"/>
        <v>203434.263157895</v>
      </c>
      <c r="I446" s="28">
        <f t="shared" si="13"/>
        <v>23</v>
      </c>
    </row>
    <row r="447" ht="14.25" customHeight="1" spans="1:9">
      <c r="A447" s="22">
        <v>43962</v>
      </c>
      <c r="B447" s="23" t="s">
        <v>17</v>
      </c>
      <c r="C447" s="23">
        <v>32733</v>
      </c>
      <c r="D447" s="23">
        <v>3079630.5</v>
      </c>
      <c r="E447" s="24">
        <f>VLOOKUP(B447,Лист2!$B:$E,2,FALSE)</f>
        <v>19</v>
      </c>
      <c r="F447" s="24">
        <f>VLOOKUP(B447,Лист2!$B:$E,3,FALSE)</f>
        <v>1846</v>
      </c>
      <c r="G447" s="24">
        <f>VLOOKUP(B447,Лист2!$B:$E,4,FALSE)</f>
        <v>1681</v>
      </c>
      <c r="H447" s="25">
        <f t="shared" si="12"/>
        <v>162085.815789474</v>
      </c>
      <c r="I447" s="29">
        <f t="shared" si="13"/>
        <v>20</v>
      </c>
    </row>
    <row r="448" ht="14.25" customHeight="1" spans="1:9">
      <c r="A448" s="18">
        <v>43980</v>
      </c>
      <c r="B448" s="19" t="s">
        <v>16</v>
      </c>
      <c r="C448" s="19">
        <v>84433.5</v>
      </c>
      <c r="D448" s="19">
        <v>7228395</v>
      </c>
      <c r="E448" s="20">
        <f>VLOOKUP(B448,Лист2!$B:$E,2,FALSE)</f>
        <v>36</v>
      </c>
      <c r="F448" s="20">
        <f>VLOOKUP(B448,Лист2!$B:$E,3,FALSE)</f>
        <v>4923</v>
      </c>
      <c r="G448" s="20">
        <f>VLOOKUP(B448,Лист2!$B:$E,4,FALSE)</f>
        <v>4560</v>
      </c>
      <c r="H448" s="21">
        <f t="shared" si="12"/>
        <v>200788.75</v>
      </c>
      <c r="I448" s="28">
        <f t="shared" si="13"/>
        <v>22</v>
      </c>
    </row>
    <row r="449" ht="14.25" customHeight="1" spans="1:9">
      <c r="A449" s="22">
        <v>43969</v>
      </c>
      <c r="B449" s="23" t="s">
        <v>17</v>
      </c>
      <c r="C449" s="23">
        <v>36655.5</v>
      </c>
      <c r="D449" s="23">
        <v>3360135</v>
      </c>
      <c r="E449" s="24">
        <f>VLOOKUP(B449,Лист2!$B:$E,2,FALSE)</f>
        <v>19</v>
      </c>
      <c r="F449" s="24">
        <f>VLOOKUP(B449,Лист2!$B:$E,3,FALSE)</f>
        <v>1846</v>
      </c>
      <c r="G449" s="24">
        <f>VLOOKUP(B449,Лист2!$B:$E,4,FALSE)</f>
        <v>1681</v>
      </c>
      <c r="H449" s="25">
        <f t="shared" si="12"/>
        <v>176849.210526316</v>
      </c>
      <c r="I449" s="29">
        <f t="shared" si="13"/>
        <v>21</v>
      </c>
    </row>
    <row r="450" ht="14.25" customHeight="1" spans="1:9">
      <c r="A450" s="18">
        <v>43965</v>
      </c>
      <c r="B450" s="19" t="s">
        <v>17</v>
      </c>
      <c r="C450" s="19">
        <v>33886.5</v>
      </c>
      <c r="D450" s="19">
        <v>3166479</v>
      </c>
      <c r="E450" s="20">
        <f>VLOOKUP(B450,Лист2!$B:$E,2,FALSE)</f>
        <v>19</v>
      </c>
      <c r="F450" s="20">
        <f>VLOOKUP(B450,Лист2!$B:$E,3,FALSE)</f>
        <v>1846</v>
      </c>
      <c r="G450" s="20">
        <f>VLOOKUP(B450,Лист2!$B:$E,4,FALSE)</f>
        <v>1681</v>
      </c>
      <c r="H450" s="21">
        <f t="shared" si="12"/>
        <v>166656.789473684</v>
      </c>
      <c r="I450" s="28">
        <f t="shared" si="13"/>
        <v>20</v>
      </c>
    </row>
    <row r="451" ht="14.25" customHeight="1" spans="1:9">
      <c r="A451" s="22">
        <v>43966</v>
      </c>
      <c r="B451" s="23" t="s">
        <v>17</v>
      </c>
      <c r="C451" s="23">
        <v>41697</v>
      </c>
      <c r="D451" s="23">
        <v>3772258.5</v>
      </c>
      <c r="E451" s="24">
        <f>VLOOKUP(B451,Лист2!$B:$E,2,FALSE)</f>
        <v>19</v>
      </c>
      <c r="F451" s="24">
        <f>VLOOKUP(B451,Лист2!$B:$E,3,FALSE)</f>
        <v>1846</v>
      </c>
      <c r="G451" s="24">
        <f>VLOOKUP(B451,Лист2!$B:$E,4,FALSE)</f>
        <v>1681</v>
      </c>
      <c r="H451" s="25">
        <f t="shared" ref="H451:H505" si="14">IF(E451=0,0,D451/E451)</f>
        <v>198539.921052632</v>
      </c>
      <c r="I451" s="29">
        <f t="shared" ref="I451:I505" si="15">WEEKNUM(A451,2)</f>
        <v>20</v>
      </c>
    </row>
    <row r="452" ht="14.25" customHeight="1" spans="1:9">
      <c r="A452" s="18">
        <v>43980</v>
      </c>
      <c r="B452" s="19" t="s">
        <v>17</v>
      </c>
      <c r="C452" s="19">
        <v>44569.5</v>
      </c>
      <c r="D452" s="19">
        <v>4108596</v>
      </c>
      <c r="E452" s="20">
        <f>VLOOKUP(B452,Лист2!$B:$E,2,FALSE)</f>
        <v>19</v>
      </c>
      <c r="F452" s="20">
        <f>VLOOKUP(B452,Лист2!$B:$E,3,FALSE)</f>
        <v>1846</v>
      </c>
      <c r="G452" s="20">
        <f>VLOOKUP(B452,Лист2!$B:$E,4,FALSE)</f>
        <v>1681</v>
      </c>
      <c r="H452" s="21">
        <f t="shared" si="14"/>
        <v>216241.894736842</v>
      </c>
      <c r="I452" s="28">
        <f t="shared" si="15"/>
        <v>22</v>
      </c>
    </row>
    <row r="453" ht="14.25" customHeight="1" spans="1:9">
      <c r="A453" s="22">
        <v>43978</v>
      </c>
      <c r="B453" s="23" t="s">
        <v>18</v>
      </c>
      <c r="C453" s="23">
        <v>18069</v>
      </c>
      <c r="D453" s="23">
        <v>1603084.5</v>
      </c>
      <c r="E453" s="24">
        <f>VLOOKUP(B453,Лист2!$B:$E,2,FALSE)</f>
        <v>15</v>
      </c>
      <c r="F453" s="24">
        <f>VLOOKUP(B453,Лист2!$B:$E,3,FALSE)</f>
        <v>780</v>
      </c>
      <c r="G453" s="24">
        <f>VLOOKUP(B453,Лист2!$B:$E,4,FALSE)</f>
        <v>690</v>
      </c>
      <c r="H453" s="25">
        <f t="shared" si="14"/>
        <v>106872.3</v>
      </c>
      <c r="I453" s="29">
        <f t="shared" si="15"/>
        <v>22</v>
      </c>
    </row>
    <row r="454" ht="14.25" customHeight="1" spans="1:9">
      <c r="A454" s="18">
        <v>43973</v>
      </c>
      <c r="B454" s="19" t="s">
        <v>18</v>
      </c>
      <c r="C454" s="19">
        <v>21483</v>
      </c>
      <c r="D454" s="19">
        <v>1774329</v>
      </c>
      <c r="E454" s="20">
        <f>VLOOKUP(B454,Лист2!$B:$E,2,FALSE)</f>
        <v>15</v>
      </c>
      <c r="F454" s="20">
        <f>VLOOKUP(B454,Лист2!$B:$E,3,FALSE)</f>
        <v>780</v>
      </c>
      <c r="G454" s="20">
        <f>VLOOKUP(B454,Лист2!$B:$E,4,FALSE)</f>
        <v>690</v>
      </c>
      <c r="H454" s="21">
        <f t="shared" si="14"/>
        <v>118288.6</v>
      </c>
      <c r="I454" s="28">
        <f t="shared" si="15"/>
        <v>21</v>
      </c>
    </row>
    <row r="455" ht="14.25" customHeight="1" spans="1:9">
      <c r="A455" s="22">
        <v>43983</v>
      </c>
      <c r="B455" s="23" t="s">
        <v>18</v>
      </c>
      <c r="C455" s="23">
        <v>16687.5</v>
      </c>
      <c r="D455" s="23">
        <v>1526608.5</v>
      </c>
      <c r="E455" s="24">
        <f>VLOOKUP(B455,Лист2!$B:$E,2,FALSE)</f>
        <v>15</v>
      </c>
      <c r="F455" s="24">
        <f>VLOOKUP(B455,Лист2!$B:$E,3,FALSE)</f>
        <v>780</v>
      </c>
      <c r="G455" s="24">
        <f>VLOOKUP(B455,Лист2!$B:$E,4,FALSE)</f>
        <v>690</v>
      </c>
      <c r="H455" s="25">
        <f t="shared" si="14"/>
        <v>101773.9</v>
      </c>
      <c r="I455" s="29">
        <f t="shared" si="15"/>
        <v>23</v>
      </c>
    </row>
    <row r="456" ht="14.25" customHeight="1" spans="1:9">
      <c r="A456" s="18">
        <v>43962</v>
      </c>
      <c r="B456" s="19" t="s">
        <v>18</v>
      </c>
      <c r="C456" s="19">
        <v>12238.5</v>
      </c>
      <c r="D456" s="19">
        <v>1096002</v>
      </c>
      <c r="E456" s="20">
        <f>VLOOKUP(B456,Лист2!$B:$E,2,FALSE)</f>
        <v>15</v>
      </c>
      <c r="F456" s="20">
        <f>VLOOKUP(B456,Лист2!$B:$E,3,FALSE)</f>
        <v>780</v>
      </c>
      <c r="G456" s="20">
        <f>VLOOKUP(B456,Лист2!$B:$E,4,FALSE)</f>
        <v>690</v>
      </c>
      <c r="H456" s="21">
        <f t="shared" si="14"/>
        <v>73066.8</v>
      </c>
      <c r="I456" s="28">
        <f t="shared" si="15"/>
        <v>20</v>
      </c>
    </row>
    <row r="457" ht="14.25" customHeight="1" spans="1:9">
      <c r="A457" s="22">
        <v>43969</v>
      </c>
      <c r="B457" s="23" t="s">
        <v>18</v>
      </c>
      <c r="C457" s="23">
        <v>14290.5</v>
      </c>
      <c r="D457" s="23">
        <v>1246162.5</v>
      </c>
      <c r="E457" s="24">
        <f>VLOOKUP(B457,Лист2!$B:$E,2,FALSE)</f>
        <v>15</v>
      </c>
      <c r="F457" s="24">
        <f>VLOOKUP(B457,Лист2!$B:$E,3,FALSE)</f>
        <v>780</v>
      </c>
      <c r="G457" s="24">
        <f>VLOOKUP(B457,Лист2!$B:$E,4,FALSE)</f>
        <v>690</v>
      </c>
      <c r="H457" s="25">
        <f t="shared" si="14"/>
        <v>83077.5</v>
      </c>
      <c r="I457" s="29">
        <f t="shared" si="15"/>
        <v>21</v>
      </c>
    </row>
    <row r="458" ht="14.25" customHeight="1" spans="1:9">
      <c r="A458" s="18">
        <v>43965</v>
      </c>
      <c r="B458" s="19" t="s">
        <v>18</v>
      </c>
      <c r="C458" s="19">
        <v>14385</v>
      </c>
      <c r="D458" s="19">
        <v>1223491.5</v>
      </c>
      <c r="E458" s="20">
        <f>VLOOKUP(B458,Лист2!$B:$E,2,FALSE)</f>
        <v>15</v>
      </c>
      <c r="F458" s="20">
        <f>VLOOKUP(B458,Лист2!$B:$E,3,FALSE)</f>
        <v>780</v>
      </c>
      <c r="G458" s="20">
        <f>VLOOKUP(B458,Лист2!$B:$E,4,FALSE)</f>
        <v>690</v>
      </c>
      <c r="H458" s="21">
        <f t="shared" si="14"/>
        <v>81566.1</v>
      </c>
      <c r="I458" s="28">
        <f t="shared" si="15"/>
        <v>20</v>
      </c>
    </row>
    <row r="459" ht="14.25" customHeight="1" spans="1:9">
      <c r="A459" s="22">
        <v>43966</v>
      </c>
      <c r="B459" s="23" t="s">
        <v>18</v>
      </c>
      <c r="C459" s="23">
        <v>16498.5</v>
      </c>
      <c r="D459" s="23">
        <v>1370482.5</v>
      </c>
      <c r="E459" s="24">
        <f>VLOOKUP(B459,Лист2!$B:$E,2,FALSE)</f>
        <v>15</v>
      </c>
      <c r="F459" s="24">
        <f>VLOOKUP(B459,Лист2!$B:$E,3,FALSE)</f>
        <v>780</v>
      </c>
      <c r="G459" s="24">
        <f>VLOOKUP(B459,Лист2!$B:$E,4,FALSE)</f>
        <v>690</v>
      </c>
      <c r="H459" s="25">
        <f t="shared" si="14"/>
        <v>91365.5</v>
      </c>
      <c r="I459" s="29">
        <f t="shared" si="15"/>
        <v>20</v>
      </c>
    </row>
    <row r="460" ht="14.25" customHeight="1" spans="1:9">
      <c r="A460" s="18">
        <v>43978</v>
      </c>
      <c r="B460" s="19" t="s">
        <v>19</v>
      </c>
      <c r="C460" s="19">
        <v>13203</v>
      </c>
      <c r="D460" s="19">
        <v>1211457</v>
      </c>
      <c r="E460" s="20">
        <f>VLOOKUP(B460,Лист2!$B:$E,2,FALSE)</f>
        <v>15</v>
      </c>
      <c r="F460" s="20">
        <f>VLOOKUP(B460,Лист2!$B:$E,3,FALSE)</f>
        <v>262</v>
      </c>
      <c r="G460" s="20">
        <f>VLOOKUP(B460,Лист2!$B:$E,4,FALSE)</f>
        <v>195</v>
      </c>
      <c r="H460" s="21">
        <f t="shared" si="14"/>
        <v>80763.8</v>
      </c>
      <c r="I460" s="28">
        <f t="shared" si="15"/>
        <v>22</v>
      </c>
    </row>
    <row r="461" ht="14.25" customHeight="1" spans="1:9">
      <c r="A461" s="22">
        <v>43973</v>
      </c>
      <c r="B461" s="23" t="s">
        <v>19</v>
      </c>
      <c r="C461" s="23">
        <v>15802.5</v>
      </c>
      <c r="D461" s="23">
        <v>1411909.5</v>
      </c>
      <c r="E461" s="24">
        <f>VLOOKUP(B461,Лист2!$B:$E,2,FALSE)</f>
        <v>15</v>
      </c>
      <c r="F461" s="24">
        <f>VLOOKUP(B461,Лист2!$B:$E,3,FALSE)</f>
        <v>262</v>
      </c>
      <c r="G461" s="24">
        <f>VLOOKUP(B461,Лист2!$B:$E,4,FALSE)</f>
        <v>195</v>
      </c>
      <c r="H461" s="25">
        <f t="shared" si="14"/>
        <v>94127.3</v>
      </c>
      <c r="I461" s="29">
        <f t="shared" si="15"/>
        <v>21</v>
      </c>
    </row>
    <row r="462" ht="14.25" customHeight="1" spans="1:9">
      <c r="A462" s="18">
        <v>43983</v>
      </c>
      <c r="B462" s="19" t="s">
        <v>19</v>
      </c>
      <c r="C462" s="19">
        <v>16476</v>
      </c>
      <c r="D462" s="19">
        <v>1565632.5</v>
      </c>
      <c r="E462" s="20">
        <f>VLOOKUP(B462,Лист2!$B:$E,2,FALSE)</f>
        <v>15</v>
      </c>
      <c r="F462" s="20">
        <f>VLOOKUP(B462,Лист2!$B:$E,3,FALSE)</f>
        <v>262</v>
      </c>
      <c r="G462" s="20">
        <f>VLOOKUP(B462,Лист2!$B:$E,4,FALSE)</f>
        <v>195</v>
      </c>
      <c r="H462" s="21">
        <f t="shared" si="14"/>
        <v>104375.5</v>
      </c>
      <c r="I462" s="28">
        <f t="shared" si="15"/>
        <v>23</v>
      </c>
    </row>
    <row r="463" ht="14.25" customHeight="1" spans="1:9">
      <c r="A463" s="22">
        <v>43962</v>
      </c>
      <c r="B463" s="23" t="s">
        <v>19</v>
      </c>
      <c r="C463" s="23">
        <v>12654</v>
      </c>
      <c r="D463" s="23">
        <v>1081158</v>
      </c>
      <c r="E463" s="24">
        <f>VLOOKUP(B463,Лист2!$B:$E,2,FALSE)</f>
        <v>15</v>
      </c>
      <c r="F463" s="24">
        <f>VLOOKUP(B463,Лист2!$B:$E,3,FALSE)</f>
        <v>262</v>
      </c>
      <c r="G463" s="24">
        <f>VLOOKUP(B463,Лист2!$B:$E,4,FALSE)</f>
        <v>195</v>
      </c>
      <c r="H463" s="25">
        <f t="shared" si="14"/>
        <v>72077.2</v>
      </c>
      <c r="I463" s="29">
        <f t="shared" si="15"/>
        <v>20</v>
      </c>
    </row>
    <row r="464" ht="14.25" customHeight="1" spans="1:9">
      <c r="A464" s="18">
        <v>43980</v>
      </c>
      <c r="B464" s="19" t="s">
        <v>18</v>
      </c>
      <c r="C464" s="19">
        <v>19647</v>
      </c>
      <c r="D464" s="19">
        <v>1764669</v>
      </c>
      <c r="E464" s="20">
        <f>VLOOKUP(B464,Лист2!$B:$E,2,FALSE)</f>
        <v>15</v>
      </c>
      <c r="F464" s="20">
        <f>VLOOKUP(B464,Лист2!$B:$E,3,FALSE)</f>
        <v>780</v>
      </c>
      <c r="G464" s="20">
        <f>VLOOKUP(B464,Лист2!$B:$E,4,FALSE)</f>
        <v>690</v>
      </c>
      <c r="H464" s="21">
        <f t="shared" si="14"/>
        <v>117644.6</v>
      </c>
      <c r="I464" s="28">
        <f t="shared" si="15"/>
        <v>22</v>
      </c>
    </row>
    <row r="465" ht="14.25" customHeight="1" spans="1:9">
      <c r="A465" s="22">
        <v>43969</v>
      </c>
      <c r="B465" s="23" t="s">
        <v>19</v>
      </c>
      <c r="C465" s="23">
        <v>12450</v>
      </c>
      <c r="D465" s="23">
        <v>1115146.5</v>
      </c>
      <c r="E465" s="24">
        <f>VLOOKUP(B465,Лист2!$B:$E,2,FALSE)</f>
        <v>15</v>
      </c>
      <c r="F465" s="24">
        <f>VLOOKUP(B465,Лист2!$B:$E,3,FALSE)</f>
        <v>262</v>
      </c>
      <c r="G465" s="24">
        <f>VLOOKUP(B465,Лист2!$B:$E,4,FALSE)</f>
        <v>195</v>
      </c>
      <c r="H465" s="25">
        <f t="shared" si="14"/>
        <v>74343.1</v>
      </c>
      <c r="I465" s="29">
        <f t="shared" si="15"/>
        <v>21</v>
      </c>
    </row>
    <row r="466" ht="14.25" customHeight="1" spans="1:9">
      <c r="A466" s="18">
        <v>43965</v>
      </c>
      <c r="B466" s="19" t="s">
        <v>19</v>
      </c>
      <c r="C466" s="19">
        <v>11161.5</v>
      </c>
      <c r="D466" s="19">
        <v>963502.5</v>
      </c>
      <c r="E466" s="20">
        <f>VLOOKUP(B466,Лист2!$B:$E,2,FALSE)</f>
        <v>15</v>
      </c>
      <c r="F466" s="20">
        <f>VLOOKUP(B466,Лист2!$B:$E,3,FALSE)</f>
        <v>262</v>
      </c>
      <c r="G466" s="20">
        <f>VLOOKUP(B466,Лист2!$B:$E,4,FALSE)</f>
        <v>195</v>
      </c>
      <c r="H466" s="21">
        <f t="shared" si="14"/>
        <v>64233.5</v>
      </c>
      <c r="I466" s="28">
        <f t="shared" si="15"/>
        <v>20</v>
      </c>
    </row>
    <row r="467" ht="14.25" customHeight="1" spans="1:9">
      <c r="A467" s="22">
        <v>43966</v>
      </c>
      <c r="B467" s="23" t="s">
        <v>19</v>
      </c>
      <c r="C467" s="23">
        <v>12229.5</v>
      </c>
      <c r="D467" s="23">
        <v>1122730.5</v>
      </c>
      <c r="E467" s="24">
        <f>VLOOKUP(B467,Лист2!$B:$E,2,FALSE)</f>
        <v>15</v>
      </c>
      <c r="F467" s="24">
        <f>VLOOKUP(B467,Лист2!$B:$E,3,FALSE)</f>
        <v>262</v>
      </c>
      <c r="G467" s="24">
        <f>VLOOKUP(B467,Лист2!$B:$E,4,FALSE)</f>
        <v>195</v>
      </c>
      <c r="H467" s="25">
        <f t="shared" si="14"/>
        <v>74848.7</v>
      </c>
      <c r="I467" s="29">
        <f t="shared" si="15"/>
        <v>20</v>
      </c>
    </row>
    <row r="468" ht="14.25" customHeight="1" spans="1:9">
      <c r="A468" s="18">
        <v>43978</v>
      </c>
      <c r="B468" s="19" t="s">
        <v>20</v>
      </c>
      <c r="C468" s="19">
        <v>28050</v>
      </c>
      <c r="D468" s="19">
        <v>2458555.5</v>
      </c>
      <c r="E468" s="20">
        <f>VLOOKUP(B468,Лист2!$B:$E,2,FALSE)</f>
        <v>18</v>
      </c>
      <c r="F468" s="20">
        <f>VLOOKUP(B468,Лист2!$B:$E,3,FALSE)</f>
        <v>1505</v>
      </c>
      <c r="G468" s="20">
        <f>VLOOKUP(B468,Лист2!$B:$E,4,FALSE)</f>
        <v>1368</v>
      </c>
      <c r="H468" s="21">
        <f t="shared" si="14"/>
        <v>136586.416666667</v>
      </c>
      <c r="I468" s="28">
        <f t="shared" si="15"/>
        <v>22</v>
      </c>
    </row>
    <row r="469" ht="14.25" customHeight="1" spans="1:9">
      <c r="A469" s="22">
        <v>43973</v>
      </c>
      <c r="B469" s="23" t="s">
        <v>20</v>
      </c>
      <c r="C469" s="23">
        <v>30781.5</v>
      </c>
      <c r="D469" s="23">
        <v>2540715</v>
      </c>
      <c r="E469" s="24">
        <f>VLOOKUP(B469,Лист2!$B:$E,2,FALSE)</f>
        <v>18</v>
      </c>
      <c r="F469" s="24">
        <f>VLOOKUP(B469,Лист2!$B:$E,3,FALSE)</f>
        <v>1505</v>
      </c>
      <c r="G469" s="24">
        <f>VLOOKUP(B469,Лист2!$B:$E,4,FALSE)</f>
        <v>1368</v>
      </c>
      <c r="H469" s="25">
        <f t="shared" si="14"/>
        <v>141150.833333333</v>
      </c>
      <c r="I469" s="29">
        <f t="shared" si="15"/>
        <v>21</v>
      </c>
    </row>
    <row r="470" ht="14.25" customHeight="1" spans="1:9">
      <c r="A470" s="18">
        <v>43983</v>
      </c>
      <c r="B470" s="19" t="s">
        <v>20</v>
      </c>
      <c r="C470" s="19">
        <v>27960</v>
      </c>
      <c r="D470" s="19">
        <v>2538967.5</v>
      </c>
      <c r="E470" s="20">
        <f>VLOOKUP(B470,Лист2!$B:$E,2,FALSE)</f>
        <v>18</v>
      </c>
      <c r="F470" s="20">
        <f>VLOOKUP(B470,Лист2!$B:$E,3,FALSE)</f>
        <v>1505</v>
      </c>
      <c r="G470" s="20">
        <f>VLOOKUP(B470,Лист2!$B:$E,4,FALSE)</f>
        <v>1368</v>
      </c>
      <c r="H470" s="21">
        <f t="shared" si="14"/>
        <v>141053.75</v>
      </c>
      <c r="I470" s="28">
        <f t="shared" si="15"/>
        <v>23</v>
      </c>
    </row>
    <row r="471" ht="14.25" customHeight="1" spans="1:9">
      <c r="A471" s="22">
        <v>43962</v>
      </c>
      <c r="B471" s="23" t="s">
        <v>20</v>
      </c>
      <c r="C471" s="23">
        <v>23629.5</v>
      </c>
      <c r="D471" s="23">
        <v>2164365</v>
      </c>
      <c r="E471" s="24">
        <f>VLOOKUP(B471,Лист2!$B:$E,2,FALSE)</f>
        <v>18</v>
      </c>
      <c r="F471" s="24">
        <f>VLOOKUP(B471,Лист2!$B:$E,3,FALSE)</f>
        <v>1505</v>
      </c>
      <c r="G471" s="24">
        <f>VLOOKUP(B471,Лист2!$B:$E,4,FALSE)</f>
        <v>1368</v>
      </c>
      <c r="H471" s="25">
        <f t="shared" si="14"/>
        <v>120242.5</v>
      </c>
      <c r="I471" s="29">
        <f t="shared" si="15"/>
        <v>20</v>
      </c>
    </row>
    <row r="472" ht="14.25" customHeight="1" spans="1:9">
      <c r="A472" s="18">
        <v>43980</v>
      </c>
      <c r="B472" s="19" t="s">
        <v>19</v>
      </c>
      <c r="C472" s="19">
        <v>17052</v>
      </c>
      <c r="D472" s="19">
        <v>1549020</v>
      </c>
      <c r="E472" s="20">
        <f>VLOOKUP(B472,Лист2!$B:$E,2,FALSE)</f>
        <v>15</v>
      </c>
      <c r="F472" s="20">
        <f>VLOOKUP(B472,Лист2!$B:$E,3,FALSE)</f>
        <v>262</v>
      </c>
      <c r="G472" s="20">
        <f>VLOOKUP(B472,Лист2!$B:$E,4,FALSE)</f>
        <v>195</v>
      </c>
      <c r="H472" s="21">
        <f t="shared" si="14"/>
        <v>103268</v>
      </c>
      <c r="I472" s="28">
        <f t="shared" si="15"/>
        <v>22</v>
      </c>
    </row>
    <row r="473" ht="14.25" customHeight="1" spans="1:9">
      <c r="A473" s="22">
        <v>43969</v>
      </c>
      <c r="B473" s="23" t="s">
        <v>20</v>
      </c>
      <c r="C473" s="23">
        <v>27181.5</v>
      </c>
      <c r="D473" s="23">
        <v>2324490</v>
      </c>
      <c r="E473" s="24">
        <f>VLOOKUP(B473,Лист2!$B:$E,2,FALSE)</f>
        <v>18</v>
      </c>
      <c r="F473" s="24">
        <f>VLOOKUP(B473,Лист2!$B:$E,3,FALSE)</f>
        <v>1505</v>
      </c>
      <c r="G473" s="24">
        <f>VLOOKUP(B473,Лист2!$B:$E,4,FALSE)</f>
        <v>1368</v>
      </c>
      <c r="H473" s="25">
        <f t="shared" si="14"/>
        <v>129138.333333333</v>
      </c>
      <c r="I473" s="29">
        <f t="shared" si="15"/>
        <v>21</v>
      </c>
    </row>
    <row r="474" ht="14.25" customHeight="1" spans="1:9">
      <c r="A474" s="18">
        <v>43965</v>
      </c>
      <c r="B474" s="19" t="s">
        <v>20</v>
      </c>
      <c r="C474" s="19">
        <v>25656</v>
      </c>
      <c r="D474" s="19">
        <v>2225341.5</v>
      </c>
      <c r="E474" s="20">
        <f>VLOOKUP(B474,Лист2!$B:$E,2,FALSE)</f>
        <v>18</v>
      </c>
      <c r="F474" s="20">
        <f>VLOOKUP(B474,Лист2!$B:$E,3,FALSE)</f>
        <v>1505</v>
      </c>
      <c r="G474" s="20">
        <f>VLOOKUP(B474,Лист2!$B:$E,4,FALSE)</f>
        <v>1368</v>
      </c>
      <c r="H474" s="21">
        <f t="shared" si="14"/>
        <v>123630.083333333</v>
      </c>
      <c r="I474" s="28">
        <f t="shared" si="15"/>
        <v>20</v>
      </c>
    </row>
    <row r="475" ht="14.25" customHeight="1" spans="1:9">
      <c r="A475" s="22">
        <v>43966</v>
      </c>
      <c r="B475" s="23" t="s">
        <v>20</v>
      </c>
      <c r="C475" s="23">
        <v>29283</v>
      </c>
      <c r="D475" s="23">
        <v>2477487</v>
      </c>
      <c r="E475" s="24">
        <f>VLOOKUP(B475,Лист2!$B:$E,2,FALSE)</f>
        <v>18</v>
      </c>
      <c r="F475" s="24">
        <f>VLOOKUP(B475,Лист2!$B:$E,3,FALSE)</f>
        <v>1505</v>
      </c>
      <c r="G475" s="24">
        <f>VLOOKUP(B475,Лист2!$B:$E,4,FALSE)</f>
        <v>1368</v>
      </c>
      <c r="H475" s="25">
        <f t="shared" si="14"/>
        <v>137638.166666667</v>
      </c>
      <c r="I475" s="29">
        <f t="shared" si="15"/>
        <v>20</v>
      </c>
    </row>
    <row r="476" ht="14.25" customHeight="1" spans="1:9">
      <c r="A476" s="18">
        <v>43980</v>
      </c>
      <c r="B476" s="19" t="s">
        <v>20</v>
      </c>
      <c r="C476" s="19">
        <v>32782.5</v>
      </c>
      <c r="D476" s="19">
        <v>2854741.5</v>
      </c>
      <c r="E476" s="20">
        <f>VLOOKUP(B476,Лист2!$B:$E,2,FALSE)</f>
        <v>18</v>
      </c>
      <c r="F476" s="20">
        <f>VLOOKUP(B476,Лист2!$B:$E,3,FALSE)</f>
        <v>1505</v>
      </c>
      <c r="G476" s="20">
        <f>VLOOKUP(B476,Лист2!$B:$E,4,FALSE)</f>
        <v>1368</v>
      </c>
      <c r="H476" s="21">
        <f t="shared" si="14"/>
        <v>158596.75</v>
      </c>
      <c r="I476" s="28">
        <f t="shared" si="15"/>
        <v>22</v>
      </c>
    </row>
    <row r="477" ht="14.25" customHeight="1" spans="1:9">
      <c r="A477" s="22">
        <v>43978</v>
      </c>
      <c r="B477" s="23" t="s">
        <v>21</v>
      </c>
      <c r="C477" s="23">
        <v>215592</v>
      </c>
      <c r="D477" s="23">
        <v>22342300.5</v>
      </c>
      <c r="E477" s="24">
        <f>VLOOKUP(B477,Лист2!$B:$E,2,FALSE)</f>
        <v>59</v>
      </c>
      <c r="F477" s="24">
        <f>VLOOKUP(B477,Лист2!$B:$E,3,FALSE)</f>
        <v>12943</v>
      </c>
      <c r="G477" s="24">
        <f>VLOOKUP(B477,Лист2!$B:$E,4,FALSE)</f>
        <v>12072</v>
      </c>
      <c r="H477" s="25">
        <f t="shared" si="14"/>
        <v>378683.059322034</v>
      </c>
      <c r="I477" s="29">
        <f t="shared" si="15"/>
        <v>22</v>
      </c>
    </row>
    <row r="478" ht="14.25" customHeight="1" spans="1:9">
      <c r="A478" s="18">
        <v>43973</v>
      </c>
      <c r="B478" s="19" t="s">
        <v>21</v>
      </c>
      <c r="C478" s="19">
        <v>228334.5</v>
      </c>
      <c r="D478" s="19">
        <v>22380772.5</v>
      </c>
      <c r="E478" s="20">
        <f>VLOOKUP(B478,Лист2!$B:$E,2,FALSE)</f>
        <v>59</v>
      </c>
      <c r="F478" s="20">
        <f>VLOOKUP(B478,Лист2!$B:$E,3,FALSE)</f>
        <v>12943</v>
      </c>
      <c r="G478" s="20">
        <f>VLOOKUP(B478,Лист2!$B:$E,4,FALSE)</f>
        <v>12072</v>
      </c>
      <c r="H478" s="21">
        <f t="shared" si="14"/>
        <v>379335.127118644</v>
      </c>
      <c r="I478" s="28">
        <f t="shared" si="15"/>
        <v>21</v>
      </c>
    </row>
    <row r="479" ht="14.25" customHeight="1" spans="1:9">
      <c r="A479" s="22">
        <v>43983</v>
      </c>
      <c r="B479" s="23" t="s">
        <v>21</v>
      </c>
      <c r="C479" s="23">
        <v>188776.5</v>
      </c>
      <c r="D479" s="23">
        <v>19465372.5</v>
      </c>
      <c r="E479" s="24">
        <f>VLOOKUP(B479,Лист2!$B:$E,2,FALSE)</f>
        <v>59</v>
      </c>
      <c r="F479" s="24">
        <f>VLOOKUP(B479,Лист2!$B:$E,3,FALSE)</f>
        <v>12943</v>
      </c>
      <c r="G479" s="24">
        <f>VLOOKUP(B479,Лист2!$B:$E,4,FALSE)</f>
        <v>12072</v>
      </c>
      <c r="H479" s="25">
        <f t="shared" si="14"/>
        <v>329921.56779661</v>
      </c>
      <c r="I479" s="29">
        <f t="shared" si="15"/>
        <v>23</v>
      </c>
    </row>
    <row r="480" ht="14.25" customHeight="1" spans="1:9">
      <c r="A480" s="18">
        <v>43962</v>
      </c>
      <c r="B480" s="19" t="s">
        <v>21</v>
      </c>
      <c r="C480" s="19">
        <v>175293</v>
      </c>
      <c r="D480" s="19">
        <v>17919144</v>
      </c>
      <c r="E480" s="20">
        <f>VLOOKUP(B480,Лист2!$B:$E,2,FALSE)</f>
        <v>59</v>
      </c>
      <c r="F480" s="20">
        <f>VLOOKUP(B480,Лист2!$B:$E,3,FALSE)</f>
        <v>12943</v>
      </c>
      <c r="G480" s="20">
        <f>VLOOKUP(B480,Лист2!$B:$E,4,FALSE)</f>
        <v>12072</v>
      </c>
      <c r="H480" s="21">
        <f t="shared" si="14"/>
        <v>303714.305084746</v>
      </c>
      <c r="I480" s="28">
        <f t="shared" si="15"/>
        <v>20</v>
      </c>
    </row>
    <row r="481" ht="14.25" customHeight="1" spans="1:9">
      <c r="A481" s="22">
        <v>43969</v>
      </c>
      <c r="B481" s="23" t="s">
        <v>21</v>
      </c>
      <c r="C481" s="23">
        <v>201999</v>
      </c>
      <c r="D481" s="23">
        <v>20422435.5</v>
      </c>
      <c r="E481" s="24">
        <f>VLOOKUP(B481,Лист2!$B:$E,2,FALSE)</f>
        <v>59</v>
      </c>
      <c r="F481" s="24">
        <f>VLOOKUP(B481,Лист2!$B:$E,3,FALSE)</f>
        <v>12943</v>
      </c>
      <c r="G481" s="24">
        <f>VLOOKUP(B481,Лист2!$B:$E,4,FALSE)</f>
        <v>12072</v>
      </c>
      <c r="H481" s="25">
        <f t="shared" si="14"/>
        <v>346142.974576271</v>
      </c>
      <c r="I481" s="29">
        <f t="shared" si="15"/>
        <v>21</v>
      </c>
    </row>
    <row r="482" ht="14.25" customHeight="1" spans="1:9">
      <c r="A482" s="18">
        <v>43965</v>
      </c>
      <c r="B482" s="19" t="s">
        <v>21</v>
      </c>
      <c r="C482" s="19">
        <v>197946</v>
      </c>
      <c r="D482" s="19">
        <v>19942435.5</v>
      </c>
      <c r="E482" s="20">
        <f>VLOOKUP(B482,Лист2!$B:$E,2,FALSE)</f>
        <v>59</v>
      </c>
      <c r="F482" s="20">
        <f>VLOOKUP(B482,Лист2!$B:$E,3,FALSE)</f>
        <v>12943</v>
      </c>
      <c r="G482" s="20">
        <f>VLOOKUP(B482,Лист2!$B:$E,4,FALSE)</f>
        <v>12072</v>
      </c>
      <c r="H482" s="21">
        <f t="shared" si="14"/>
        <v>338007.381355932</v>
      </c>
      <c r="I482" s="28">
        <f t="shared" si="15"/>
        <v>20</v>
      </c>
    </row>
    <row r="483" ht="14.25" customHeight="1" spans="1:9">
      <c r="A483" s="22">
        <v>43966</v>
      </c>
      <c r="B483" s="23" t="s">
        <v>21</v>
      </c>
      <c r="C483" s="23">
        <v>230896.5</v>
      </c>
      <c r="D483" s="23">
        <v>23085222</v>
      </c>
      <c r="E483" s="24">
        <f>VLOOKUP(B483,Лист2!$B:$E,2,FALSE)</f>
        <v>59</v>
      </c>
      <c r="F483" s="24">
        <f>VLOOKUP(B483,Лист2!$B:$E,3,FALSE)</f>
        <v>12943</v>
      </c>
      <c r="G483" s="24">
        <f>VLOOKUP(B483,Лист2!$B:$E,4,FALSE)</f>
        <v>12072</v>
      </c>
      <c r="H483" s="25">
        <f t="shared" si="14"/>
        <v>391274.949152542</v>
      </c>
      <c r="I483" s="29">
        <f t="shared" si="15"/>
        <v>20</v>
      </c>
    </row>
    <row r="484" ht="14.25" customHeight="1" spans="1:9">
      <c r="A484" s="18">
        <v>43978</v>
      </c>
      <c r="B484" s="19" t="s">
        <v>22</v>
      </c>
      <c r="C484" s="19">
        <v>203532</v>
      </c>
      <c r="D484" s="19">
        <v>20953324.5</v>
      </c>
      <c r="E484" s="20">
        <f>VLOOKUP(B484,Лист2!$B:$E,2,FALSE)</f>
        <v>54</v>
      </c>
      <c r="F484" s="20">
        <f>VLOOKUP(B484,Лист2!$B:$E,3,FALSE)</f>
        <v>12306</v>
      </c>
      <c r="G484" s="20">
        <f>VLOOKUP(B484,Лист2!$B:$E,4,FALSE)</f>
        <v>11532</v>
      </c>
      <c r="H484" s="21">
        <f t="shared" si="14"/>
        <v>388024.527777778</v>
      </c>
      <c r="I484" s="28">
        <f t="shared" si="15"/>
        <v>22</v>
      </c>
    </row>
    <row r="485" ht="14.25" customHeight="1" spans="1:9">
      <c r="A485" s="22">
        <v>43973</v>
      </c>
      <c r="B485" s="23" t="s">
        <v>22</v>
      </c>
      <c r="C485" s="23">
        <v>214428</v>
      </c>
      <c r="D485" s="23">
        <v>20812585.5</v>
      </c>
      <c r="E485" s="24">
        <f>VLOOKUP(B485,Лист2!$B:$E,2,FALSE)</f>
        <v>54</v>
      </c>
      <c r="F485" s="24">
        <f>VLOOKUP(B485,Лист2!$B:$E,3,FALSE)</f>
        <v>12306</v>
      </c>
      <c r="G485" s="24">
        <f>VLOOKUP(B485,Лист2!$B:$E,4,FALSE)</f>
        <v>11532</v>
      </c>
      <c r="H485" s="25">
        <f t="shared" si="14"/>
        <v>385418.25</v>
      </c>
      <c r="I485" s="29">
        <f t="shared" si="15"/>
        <v>21</v>
      </c>
    </row>
    <row r="486" ht="14.25" customHeight="1" spans="1:9">
      <c r="A486" s="18">
        <v>43983</v>
      </c>
      <c r="B486" s="19" t="s">
        <v>22</v>
      </c>
      <c r="C486" s="19">
        <v>183228</v>
      </c>
      <c r="D486" s="19">
        <v>18914194.5</v>
      </c>
      <c r="E486" s="20">
        <f>VLOOKUP(B486,Лист2!$B:$E,2,FALSE)</f>
        <v>54</v>
      </c>
      <c r="F486" s="20">
        <f>VLOOKUP(B486,Лист2!$B:$E,3,FALSE)</f>
        <v>12306</v>
      </c>
      <c r="G486" s="20">
        <f>VLOOKUP(B486,Лист2!$B:$E,4,FALSE)</f>
        <v>11532</v>
      </c>
      <c r="H486" s="21">
        <f t="shared" si="14"/>
        <v>350262.861111111</v>
      </c>
      <c r="I486" s="28">
        <f t="shared" si="15"/>
        <v>23</v>
      </c>
    </row>
    <row r="487" ht="14.25" customHeight="1" spans="1:9">
      <c r="A487" s="22">
        <v>43962</v>
      </c>
      <c r="B487" s="23" t="s">
        <v>22</v>
      </c>
      <c r="C487" s="23">
        <v>166948.5</v>
      </c>
      <c r="D487" s="23">
        <v>16971231</v>
      </c>
      <c r="E487" s="24">
        <f>VLOOKUP(B487,Лист2!$B:$E,2,FALSE)</f>
        <v>54</v>
      </c>
      <c r="F487" s="24">
        <f>VLOOKUP(B487,Лист2!$B:$E,3,FALSE)</f>
        <v>12306</v>
      </c>
      <c r="G487" s="24">
        <f>VLOOKUP(B487,Лист2!$B:$E,4,FALSE)</f>
        <v>11532</v>
      </c>
      <c r="H487" s="25">
        <f t="shared" si="14"/>
        <v>314282.055555556</v>
      </c>
      <c r="I487" s="29">
        <f t="shared" si="15"/>
        <v>20</v>
      </c>
    </row>
    <row r="488" ht="14.25" customHeight="1" spans="1:9">
      <c r="A488" s="18">
        <v>43980</v>
      </c>
      <c r="B488" s="19" t="s">
        <v>21</v>
      </c>
      <c r="C488" s="19">
        <v>232102.5</v>
      </c>
      <c r="D488" s="19">
        <v>23120443.5</v>
      </c>
      <c r="E488" s="20">
        <f>VLOOKUP(B488,Лист2!$B:$E,2,FALSE)</f>
        <v>59</v>
      </c>
      <c r="F488" s="20">
        <f>VLOOKUP(B488,Лист2!$B:$E,3,FALSE)</f>
        <v>12943</v>
      </c>
      <c r="G488" s="20">
        <f>VLOOKUP(B488,Лист2!$B:$E,4,FALSE)</f>
        <v>12072</v>
      </c>
      <c r="H488" s="21">
        <f t="shared" si="14"/>
        <v>391871.923728814</v>
      </c>
      <c r="I488" s="28">
        <f t="shared" si="15"/>
        <v>22</v>
      </c>
    </row>
    <row r="489" ht="14.25" customHeight="1" spans="1:9">
      <c r="A489" s="22">
        <v>43969</v>
      </c>
      <c r="B489" s="23" t="s">
        <v>22</v>
      </c>
      <c r="C489" s="23">
        <v>196560</v>
      </c>
      <c r="D489" s="23">
        <v>19855122</v>
      </c>
      <c r="E489" s="24">
        <f>VLOOKUP(B489,Лист2!$B:$E,2,FALSE)</f>
        <v>54</v>
      </c>
      <c r="F489" s="24">
        <f>VLOOKUP(B489,Лист2!$B:$E,3,FALSE)</f>
        <v>12306</v>
      </c>
      <c r="G489" s="24">
        <f>VLOOKUP(B489,Лист2!$B:$E,4,FALSE)</f>
        <v>11532</v>
      </c>
      <c r="H489" s="25">
        <f t="shared" si="14"/>
        <v>367687.444444444</v>
      </c>
      <c r="I489" s="29">
        <f t="shared" si="15"/>
        <v>21</v>
      </c>
    </row>
    <row r="490" ht="14.25" customHeight="1" spans="1:9">
      <c r="A490" s="18">
        <v>43965</v>
      </c>
      <c r="B490" s="19" t="s">
        <v>22</v>
      </c>
      <c r="C490" s="19">
        <v>186496.5</v>
      </c>
      <c r="D490" s="19">
        <v>18640998</v>
      </c>
      <c r="E490" s="20">
        <f>VLOOKUP(B490,Лист2!$B:$E,2,FALSE)</f>
        <v>54</v>
      </c>
      <c r="F490" s="20">
        <f>VLOOKUP(B490,Лист2!$B:$E,3,FALSE)</f>
        <v>12306</v>
      </c>
      <c r="G490" s="20">
        <f>VLOOKUP(B490,Лист2!$B:$E,4,FALSE)</f>
        <v>11532</v>
      </c>
      <c r="H490" s="21">
        <f t="shared" si="14"/>
        <v>345203.666666667</v>
      </c>
      <c r="I490" s="28">
        <f t="shared" si="15"/>
        <v>20</v>
      </c>
    </row>
    <row r="491" ht="14.25" customHeight="1" spans="1:9">
      <c r="A491" s="22">
        <v>43966</v>
      </c>
      <c r="B491" s="23" t="s">
        <v>22</v>
      </c>
      <c r="C491" s="23">
        <v>219772.5</v>
      </c>
      <c r="D491" s="23">
        <v>21895294.5</v>
      </c>
      <c r="E491" s="24">
        <f>VLOOKUP(B491,Лист2!$B:$E,2,FALSE)</f>
        <v>54</v>
      </c>
      <c r="F491" s="24">
        <f>VLOOKUP(B491,Лист2!$B:$E,3,FALSE)</f>
        <v>12306</v>
      </c>
      <c r="G491" s="24">
        <f>VLOOKUP(B491,Лист2!$B:$E,4,FALSE)</f>
        <v>11532</v>
      </c>
      <c r="H491" s="25">
        <f t="shared" si="14"/>
        <v>405468.416666667</v>
      </c>
      <c r="I491" s="29">
        <f t="shared" si="15"/>
        <v>20</v>
      </c>
    </row>
    <row r="492" ht="14.25" customHeight="1" spans="1:9">
      <c r="A492" s="18">
        <v>43980</v>
      </c>
      <c r="B492" s="19" t="s">
        <v>22</v>
      </c>
      <c r="C492" s="19">
        <v>226476</v>
      </c>
      <c r="D492" s="19">
        <v>22416151.5</v>
      </c>
      <c r="E492" s="20">
        <f>VLOOKUP(B492,Лист2!$B:$E,2,FALSE)</f>
        <v>54</v>
      </c>
      <c r="F492" s="20">
        <f>VLOOKUP(B492,Лист2!$B:$E,3,FALSE)</f>
        <v>12306</v>
      </c>
      <c r="G492" s="20">
        <f>VLOOKUP(B492,Лист2!$B:$E,4,FALSE)</f>
        <v>11532</v>
      </c>
      <c r="H492" s="21">
        <f t="shared" si="14"/>
        <v>415113.916666667</v>
      </c>
      <c r="I492" s="28">
        <f t="shared" si="15"/>
        <v>22</v>
      </c>
    </row>
    <row r="493" ht="14.25" customHeight="1" spans="1:9">
      <c r="A493" s="22">
        <v>43978</v>
      </c>
      <c r="B493" s="23" t="s">
        <v>24</v>
      </c>
      <c r="C493" s="23">
        <v>8362.5</v>
      </c>
      <c r="D493" s="23">
        <v>687684</v>
      </c>
      <c r="E493" s="24">
        <f>VLOOKUP(B493,Лист2!$B:$E,2,FALSE)</f>
        <v>7</v>
      </c>
      <c r="F493" s="24">
        <f>VLOOKUP(B493,Лист2!$B:$E,3,FALSE)</f>
        <v>577</v>
      </c>
      <c r="G493" s="24">
        <f>VLOOKUP(B493,Лист2!$B:$E,4,FALSE)</f>
        <v>389</v>
      </c>
      <c r="H493" s="25">
        <f t="shared" si="14"/>
        <v>98240.5714285714</v>
      </c>
      <c r="I493" s="29">
        <f t="shared" si="15"/>
        <v>22</v>
      </c>
    </row>
    <row r="494" ht="14.25" customHeight="1" spans="1:9">
      <c r="A494" s="18">
        <v>43973</v>
      </c>
      <c r="B494" s="19" t="s">
        <v>23</v>
      </c>
      <c r="C494" s="19">
        <v>17008.5</v>
      </c>
      <c r="D494" s="19">
        <v>1398771</v>
      </c>
      <c r="E494" s="20">
        <f>VLOOKUP(B494,Лист2!$B:$E,2,FALSE)</f>
        <v>15</v>
      </c>
      <c r="F494" s="20">
        <f>VLOOKUP(B494,Лист2!$B:$E,3,FALSE)</f>
        <v>636</v>
      </c>
      <c r="G494" s="20">
        <f>VLOOKUP(B494,Лист2!$B:$E,4,FALSE)</f>
        <v>547</v>
      </c>
      <c r="H494" s="21">
        <f t="shared" si="14"/>
        <v>93251.4</v>
      </c>
      <c r="I494" s="28">
        <f t="shared" si="15"/>
        <v>21</v>
      </c>
    </row>
    <row r="495" ht="14.25" customHeight="1" spans="1:9">
      <c r="A495" s="22">
        <v>43983</v>
      </c>
      <c r="B495" s="23" t="s">
        <v>25</v>
      </c>
      <c r="C495" s="23">
        <v>5166</v>
      </c>
      <c r="D495" s="23">
        <v>389013</v>
      </c>
      <c r="E495" s="24">
        <f>VLOOKUP(B495,Лист2!$B:$E,2,FALSE)</f>
        <v>9</v>
      </c>
      <c r="F495" s="24">
        <f>VLOOKUP(B495,Лист2!$B:$E,3,FALSE)</f>
        <v>345</v>
      </c>
      <c r="G495" s="24">
        <f>VLOOKUP(B495,Лист2!$B:$E,4,FALSE)</f>
        <v>255</v>
      </c>
      <c r="H495" s="25">
        <f t="shared" si="14"/>
        <v>43223.6666666667</v>
      </c>
      <c r="I495" s="29">
        <f t="shared" si="15"/>
        <v>23</v>
      </c>
    </row>
    <row r="496" ht="14.25" customHeight="1" spans="1:9">
      <c r="A496" s="18">
        <v>43962</v>
      </c>
      <c r="B496" s="19" t="s">
        <v>23</v>
      </c>
      <c r="C496" s="19">
        <v>10941</v>
      </c>
      <c r="D496" s="19">
        <v>880356</v>
      </c>
      <c r="E496" s="20">
        <f>VLOOKUP(B496,Лист2!$B:$E,2,FALSE)</f>
        <v>15</v>
      </c>
      <c r="F496" s="20">
        <f>VLOOKUP(B496,Лист2!$B:$E,3,FALSE)</f>
        <v>636</v>
      </c>
      <c r="G496" s="20">
        <f>VLOOKUP(B496,Лист2!$B:$E,4,FALSE)</f>
        <v>547</v>
      </c>
      <c r="H496" s="21">
        <f t="shared" si="14"/>
        <v>58690.4</v>
      </c>
      <c r="I496" s="28">
        <f t="shared" si="15"/>
        <v>20</v>
      </c>
    </row>
    <row r="497" ht="14.25" customHeight="1" spans="1:9">
      <c r="A497" s="22">
        <v>43969</v>
      </c>
      <c r="B497" s="23" t="s">
        <v>23</v>
      </c>
      <c r="C497" s="23">
        <v>14497.5</v>
      </c>
      <c r="D497" s="23">
        <v>1230711</v>
      </c>
      <c r="E497" s="24">
        <f>VLOOKUP(B497,Лист2!$B:$E,2,FALSE)</f>
        <v>15</v>
      </c>
      <c r="F497" s="24">
        <f>VLOOKUP(B497,Лист2!$B:$E,3,FALSE)</f>
        <v>636</v>
      </c>
      <c r="G497" s="24">
        <f>VLOOKUP(B497,Лист2!$B:$E,4,FALSE)</f>
        <v>547</v>
      </c>
      <c r="H497" s="25">
        <f t="shared" si="14"/>
        <v>82047.4</v>
      </c>
      <c r="I497" s="29">
        <f t="shared" si="15"/>
        <v>21</v>
      </c>
    </row>
    <row r="498" ht="14.25" customHeight="1" spans="1:9">
      <c r="A498" s="18">
        <v>43965</v>
      </c>
      <c r="B498" s="19" t="s">
        <v>23</v>
      </c>
      <c r="C498" s="19">
        <v>13810.5</v>
      </c>
      <c r="D498" s="19">
        <v>1131676.5</v>
      </c>
      <c r="E498" s="20">
        <f>VLOOKUP(B498,Лист2!$B:$E,2,FALSE)</f>
        <v>15</v>
      </c>
      <c r="F498" s="20">
        <f>VLOOKUP(B498,Лист2!$B:$E,3,FALSE)</f>
        <v>636</v>
      </c>
      <c r="G498" s="20">
        <f>VLOOKUP(B498,Лист2!$B:$E,4,FALSE)</f>
        <v>547</v>
      </c>
      <c r="H498" s="21">
        <f t="shared" si="14"/>
        <v>75445.1</v>
      </c>
      <c r="I498" s="28">
        <f t="shared" si="15"/>
        <v>20</v>
      </c>
    </row>
    <row r="499" ht="14.25" customHeight="1" spans="1:9">
      <c r="A499" s="22">
        <v>43966</v>
      </c>
      <c r="B499" s="23" t="s">
        <v>23</v>
      </c>
      <c r="C499" s="23">
        <v>13752</v>
      </c>
      <c r="D499" s="23">
        <v>1091040</v>
      </c>
      <c r="E499" s="24">
        <f>VLOOKUP(B499,Лист2!$B:$E,2,FALSE)</f>
        <v>15</v>
      </c>
      <c r="F499" s="24">
        <f>VLOOKUP(B499,Лист2!$B:$E,3,FALSE)</f>
        <v>636</v>
      </c>
      <c r="G499" s="24">
        <f>VLOOKUP(B499,Лист2!$B:$E,4,FALSE)</f>
        <v>547</v>
      </c>
      <c r="H499" s="25">
        <f t="shared" si="14"/>
        <v>72736</v>
      </c>
      <c r="I499" s="29">
        <f t="shared" si="15"/>
        <v>20</v>
      </c>
    </row>
    <row r="500" ht="14.25" customHeight="1" spans="1:9">
      <c r="A500" s="18">
        <v>43978</v>
      </c>
      <c r="B500" s="19" t="s">
        <v>23</v>
      </c>
      <c r="C500" s="19">
        <v>15276</v>
      </c>
      <c r="D500" s="19">
        <v>1350199.5</v>
      </c>
      <c r="E500" s="20">
        <f>VLOOKUP(B500,Лист2!$B:$E,2,FALSE)</f>
        <v>15</v>
      </c>
      <c r="F500" s="20">
        <f>VLOOKUP(B500,Лист2!$B:$E,3,FALSE)</f>
        <v>636</v>
      </c>
      <c r="G500" s="20">
        <f>VLOOKUP(B500,Лист2!$B:$E,4,FALSE)</f>
        <v>547</v>
      </c>
      <c r="H500" s="21">
        <f t="shared" si="14"/>
        <v>90013.3</v>
      </c>
      <c r="I500" s="28">
        <f t="shared" si="15"/>
        <v>22</v>
      </c>
    </row>
    <row r="501" ht="14.25" customHeight="1" spans="1:9">
      <c r="A501" s="22">
        <v>43983</v>
      </c>
      <c r="B501" s="23" t="s">
        <v>26</v>
      </c>
      <c r="C501" s="23">
        <v>4408.5</v>
      </c>
      <c r="D501" s="23">
        <v>410892</v>
      </c>
      <c r="E501" s="24">
        <f>VLOOKUP(B501,Лист2!$B:$E,2,FALSE)</f>
        <v>6</v>
      </c>
      <c r="F501" s="24">
        <f>VLOOKUP(B501,Лист2!$B:$E,3,FALSE)</f>
        <v>261</v>
      </c>
      <c r="G501" s="24">
        <f>VLOOKUP(B501,Лист2!$B:$E,4,FALSE)</f>
        <v>188</v>
      </c>
      <c r="H501" s="25">
        <f t="shared" si="14"/>
        <v>68482</v>
      </c>
      <c r="I501" s="29">
        <f t="shared" si="15"/>
        <v>23</v>
      </c>
    </row>
    <row r="502" ht="14.25" customHeight="1" spans="1:9">
      <c r="A502" s="18">
        <v>43980</v>
      </c>
      <c r="B502" s="19" t="s">
        <v>24</v>
      </c>
      <c r="C502" s="19">
        <v>9927</v>
      </c>
      <c r="D502" s="19">
        <v>850840.5</v>
      </c>
      <c r="E502" s="20">
        <f>VLOOKUP(B502,Лист2!$B:$E,2,FALSE)</f>
        <v>7</v>
      </c>
      <c r="F502" s="20">
        <f>VLOOKUP(B502,Лист2!$B:$E,3,FALSE)</f>
        <v>577</v>
      </c>
      <c r="G502" s="20">
        <f>VLOOKUP(B502,Лист2!$B:$E,4,FALSE)</f>
        <v>389</v>
      </c>
      <c r="H502" s="21">
        <f t="shared" si="14"/>
        <v>121548.642857143</v>
      </c>
      <c r="I502" s="28">
        <f t="shared" si="15"/>
        <v>22</v>
      </c>
    </row>
    <row r="503" ht="14.25" customHeight="1" spans="1:9">
      <c r="A503" s="22">
        <v>43983</v>
      </c>
      <c r="B503" s="23" t="s">
        <v>24</v>
      </c>
      <c r="C503" s="23">
        <v>9474</v>
      </c>
      <c r="D503" s="23">
        <v>802447.5</v>
      </c>
      <c r="E503" s="24">
        <f>VLOOKUP(B503,Лист2!$B:$E,2,FALSE)</f>
        <v>7</v>
      </c>
      <c r="F503" s="24">
        <f>VLOOKUP(B503,Лист2!$B:$E,3,FALSE)</f>
        <v>577</v>
      </c>
      <c r="G503" s="24">
        <f>VLOOKUP(B503,Лист2!$B:$E,4,FALSE)</f>
        <v>389</v>
      </c>
      <c r="H503" s="25">
        <f t="shared" si="14"/>
        <v>114635.357142857</v>
      </c>
      <c r="I503" s="29">
        <f t="shared" si="15"/>
        <v>23</v>
      </c>
    </row>
    <row r="504" ht="14.25" customHeight="1" spans="1:9">
      <c r="A504" s="18">
        <v>43980</v>
      </c>
      <c r="B504" s="19" t="s">
        <v>23</v>
      </c>
      <c r="C504" s="19">
        <v>16878</v>
      </c>
      <c r="D504" s="19">
        <v>1438255.5</v>
      </c>
      <c r="E504" s="20">
        <f>VLOOKUP(B504,Лист2!$B:$E,2,FALSE)</f>
        <v>15</v>
      </c>
      <c r="F504" s="20">
        <f>VLOOKUP(B504,Лист2!$B:$E,3,FALSE)</f>
        <v>636</v>
      </c>
      <c r="G504" s="20">
        <f>VLOOKUP(B504,Лист2!$B:$E,4,FALSE)</f>
        <v>547</v>
      </c>
      <c r="H504" s="21">
        <f t="shared" si="14"/>
        <v>95883.7</v>
      </c>
      <c r="I504" s="28">
        <f t="shared" si="15"/>
        <v>22</v>
      </c>
    </row>
    <row r="505" ht="14.25" customHeight="1" spans="1:9">
      <c r="A505" s="30">
        <v>43983</v>
      </c>
      <c r="B505" s="31" t="s">
        <v>23</v>
      </c>
      <c r="C505" s="31">
        <v>14238</v>
      </c>
      <c r="D505" s="31">
        <v>1293219</v>
      </c>
      <c r="E505" s="32">
        <f>VLOOKUP(B505,Лист2!$B:$E,2,FALSE)</f>
        <v>15</v>
      </c>
      <c r="F505" s="32">
        <f>VLOOKUP(B505,Лист2!$B:$E,3,FALSE)</f>
        <v>636</v>
      </c>
      <c r="G505" s="32">
        <f>VLOOKUP(B505,Лист2!$B:$E,4,FALSE)</f>
        <v>547</v>
      </c>
      <c r="H505" s="33">
        <f t="shared" si="14"/>
        <v>86214.6</v>
      </c>
      <c r="I505" s="34">
        <f t="shared" si="15"/>
        <v>23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D22"/>
  <sheetViews>
    <sheetView workbookViewId="0">
      <selection activeCell="C1" sqref="C1"/>
    </sheetView>
  </sheetViews>
  <sheetFormatPr defaultColWidth="9.14285714285714" defaultRowHeight="15" outlineLevelCol="3"/>
  <cols>
    <col min="1" max="1" width="24.5714285714286"/>
    <col min="2" max="4" width="36.5714285714286"/>
  </cols>
  <sheetData>
    <row r="1" ht="15.75" spans="1:4">
      <c r="A1" s="5" t="s">
        <v>8</v>
      </c>
      <c r="B1" s="5" t="s">
        <v>27</v>
      </c>
      <c r="C1" s="5"/>
      <c r="D1" s="5"/>
    </row>
    <row r="2" ht="15.75" spans="1:4">
      <c r="A2" s="5"/>
      <c r="B2" s="5"/>
      <c r="C2" s="5"/>
      <c r="D2" s="5"/>
    </row>
    <row r="3" ht="15.75" spans="1:4">
      <c r="A3" s="4" t="s">
        <v>1</v>
      </c>
      <c r="B3" s="4" t="s">
        <v>28</v>
      </c>
      <c r="C3" s="4" t="s">
        <v>29</v>
      </c>
      <c r="D3" s="4" t="s">
        <v>30</v>
      </c>
    </row>
    <row r="4" ht="15.75" spans="1:4">
      <c r="A4" s="5" t="s">
        <v>22</v>
      </c>
      <c r="B4" s="5">
        <v>738124428</v>
      </c>
      <c r="C4" s="5">
        <v>390542.025396825</v>
      </c>
      <c r="D4" s="15">
        <v>0.148744658682116</v>
      </c>
    </row>
    <row r="5" ht="15.75" spans="1:4">
      <c r="A5" s="5" t="s">
        <v>21</v>
      </c>
      <c r="B5" s="5">
        <v>774146953.5</v>
      </c>
      <c r="C5" s="5">
        <v>374889.565859564</v>
      </c>
      <c r="D5" s="15">
        <v>0.156003811823659</v>
      </c>
    </row>
    <row r="6" ht="15.75" spans="1:4">
      <c r="A6" s="5" t="s">
        <v>15</v>
      </c>
      <c r="B6" s="5">
        <v>1380723900.75135</v>
      </c>
      <c r="C6" s="5">
        <v>315594.034457452</v>
      </c>
      <c r="D6" s="15">
        <v>0.278239409997551</v>
      </c>
    </row>
    <row r="7" ht="15.75" spans="1:4">
      <c r="A7" s="5" t="s">
        <v>14</v>
      </c>
      <c r="B7" s="5">
        <v>1035612381.81105</v>
      </c>
      <c r="C7" s="5">
        <v>231163.478082824</v>
      </c>
      <c r="D7" s="15">
        <v>0.208693554116404</v>
      </c>
    </row>
    <row r="8" ht="15.75" spans="1:4">
      <c r="A8" s="5" t="s">
        <v>11</v>
      </c>
      <c r="B8" s="5">
        <v>243409003.5</v>
      </c>
      <c r="C8" s="5">
        <v>224340.095391705</v>
      </c>
      <c r="D8" s="15">
        <v>0.0490510647965732</v>
      </c>
    </row>
    <row r="9" ht="15.75" spans="1:4">
      <c r="A9" s="5" t="s">
        <v>17</v>
      </c>
      <c r="B9" s="5">
        <v>120582837</v>
      </c>
      <c r="C9" s="5">
        <v>181327.57443609</v>
      </c>
      <c r="D9" s="15">
        <v>0.0242994978246219</v>
      </c>
    </row>
    <row r="10" ht="15.75" spans="1:4">
      <c r="A10" s="5" t="s">
        <v>16</v>
      </c>
      <c r="B10" s="5">
        <v>218000127</v>
      </c>
      <c r="C10" s="5">
        <v>173015.973809524</v>
      </c>
      <c r="D10" s="15">
        <v>0.043930742911645</v>
      </c>
    </row>
    <row r="11" ht="15.75" spans="1:4">
      <c r="A11" s="5" t="s">
        <v>10</v>
      </c>
      <c r="B11" s="5">
        <v>101673535.5</v>
      </c>
      <c r="C11" s="5">
        <v>161386.564285714</v>
      </c>
      <c r="D11" s="15">
        <v>0.020488951132439</v>
      </c>
    </row>
    <row r="12" ht="15.75" spans="1:4">
      <c r="A12" s="5" t="s">
        <v>13</v>
      </c>
      <c r="B12" s="5">
        <v>95592298.5</v>
      </c>
      <c r="C12" s="5">
        <v>160659.325210084</v>
      </c>
      <c r="D12" s="15">
        <v>0.0192634781801605</v>
      </c>
    </row>
    <row r="13" ht="15.75" spans="1:4">
      <c r="A13" s="5" t="s">
        <v>20</v>
      </c>
      <c r="B13" s="5">
        <v>85862581.5</v>
      </c>
      <c r="C13" s="5">
        <v>136289.811904762</v>
      </c>
      <c r="D13" s="15">
        <v>0.0173027742942859</v>
      </c>
    </row>
    <row r="14" ht="15.75" spans="1:4">
      <c r="A14" s="5" t="s">
        <v>24</v>
      </c>
      <c r="B14" s="5">
        <v>5664156</v>
      </c>
      <c r="C14" s="5">
        <v>115595.020408163</v>
      </c>
      <c r="D14" s="15">
        <v>0.00114142401874588</v>
      </c>
    </row>
    <row r="15" ht="15.75" spans="1:4">
      <c r="A15" s="5" t="s">
        <v>12</v>
      </c>
      <c r="B15" s="5">
        <v>33207564</v>
      </c>
      <c r="C15" s="5">
        <v>94878.7542857143</v>
      </c>
      <c r="D15" s="15">
        <v>0.0066918903987886</v>
      </c>
    </row>
    <row r="16" ht="15.75" spans="1:4">
      <c r="A16" s="5" t="s">
        <v>18</v>
      </c>
      <c r="B16" s="5">
        <v>48803040</v>
      </c>
      <c r="C16" s="5">
        <v>92958.1714285714</v>
      </c>
      <c r="D16" s="15">
        <v>0.00983464474562772</v>
      </c>
    </row>
    <row r="17" ht="15.75" spans="1:4">
      <c r="A17" s="5" t="s">
        <v>23</v>
      </c>
      <c r="B17" s="5">
        <v>41034630</v>
      </c>
      <c r="C17" s="5">
        <v>78161.2</v>
      </c>
      <c r="D17" s="15">
        <v>0.00826917766430693</v>
      </c>
    </row>
    <row r="18" ht="15.75" spans="1:4">
      <c r="A18" s="5" t="s">
        <v>26</v>
      </c>
      <c r="B18" s="5">
        <v>879727.5</v>
      </c>
      <c r="C18" s="5">
        <v>73310.625</v>
      </c>
      <c r="D18" s="15">
        <v>0.000177280092294644</v>
      </c>
    </row>
    <row r="19" ht="15.75" spans="1:4">
      <c r="A19" s="5" t="s">
        <v>19</v>
      </c>
      <c r="B19" s="5">
        <v>34816548</v>
      </c>
      <c r="C19" s="5">
        <v>70336.4606060606</v>
      </c>
      <c r="D19" s="15">
        <v>0.00701612811105815</v>
      </c>
    </row>
    <row r="20" ht="15.75" spans="1:4">
      <c r="A20" s="5" t="s">
        <v>25</v>
      </c>
      <c r="B20" s="5">
        <v>882906</v>
      </c>
      <c r="C20" s="5">
        <v>49050.3333333334</v>
      </c>
      <c r="D20" s="15">
        <v>0.000177920614244178</v>
      </c>
    </row>
    <row r="21" ht="15.75" spans="1:4">
      <c r="A21" s="5" t="s">
        <v>9</v>
      </c>
      <c r="B21" s="5">
        <v>3342598.5</v>
      </c>
      <c r="C21" s="5">
        <v>44567.98</v>
      </c>
      <c r="D21" s="15">
        <v>0.000673590595478644</v>
      </c>
    </row>
    <row r="22" ht="15.75" spans="1:4">
      <c r="A22" s="5" t="s">
        <v>31</v>
      </c>
      <c r="B22" s="5">
        <v>4962359217.0624</v>
      </c>
      <c r="C22" s="5">
        <v>188750.119580819</v>
      </c>
      <c r="D22" s="15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B9"/>
  <sheetViews>
    <sheetView workbookViewId="0">
      <selection activeCell="C9" sqref="C9"/>
    </sheetView>
  </sheetViews>
  <sheetFormatPr defaultColWidth="9.14285714285714" defaultRowHeight="15" outlineLevelCol="1"/>
  <cols>
    <col min="1" max="1" width="24.5714285714286" customWidth="1"/>
    <col min="2" max="2" width="25.2857142857143" customWidth="1"/>
  </cols>
  <sheetData>
    <row r="1" ht="19" customHeight="1" spans="1:2">
      <c r="A1" s="6" t="s">
        <v>32</v>
      </c>
      <c r="B1" s="7"/>
    </row>
    <row r="2" ht="15.75" spans="1:2">
      <c r="A2" s="8" t="s">
        <v>33</v>
      </c>
      <c r="B2" s="9"/>
    </row>
    <row r="3" ht="15.75" spans="1:2">
      <c r="A3" s="10" t="s">
        <v>15</v>
      </c>
      <c r="B3" s="11">
        <v>0.278239409997551</v>
      </c>
    </row>
    <row r="4" ht="15.75" spans="1:2">
      <c r="A4" s="10" t="s">
        <v>14</v>
      </c>
      <c r="B4" s="11">
        <v>0.208693554116404</v>
      </c>
    </row>
    <row r="5" ht="15.75" spans="1:2">
      <c r="A5" s="10" t="s">
        <v>21</v>
      </c>
      <c r="B5" s="11">
        <v>0.156003811823659</v>
      </c>
    </row>
    <row r="6" ht="15.75" spans="1:2">
      <c r="A6" s="8" t="s">
        <v>34</v>
      </c>
      <c r="B6" s="9"/>
    </row>
    <row r="7" ht="15.75" spans="1:2">
      <c r="A7" s="10" t="s">
        <v>22</v>
      </c>
      <c r="B7" s="12">
        <v>350262.861111111</v>
      </c>
    </row>
    <row r="8" ht="15.75" spans="1:2">
      <c r="A8" s="10" t="s">
        <v>21</v>
      </c>
      <c r="B8" s="12">
        <v>329921.56779661</v>
      </c>
    </row>
    <row r="9" ht="16.5" spans="1:2">
      <c r="A9" s="13" t="s">
        <v>15</v>
      </c>
      <c r="B9" s="14">
        <v>298062.7214508</v>
      </c>
    </row>
  </sheetData>
  <mergeCells count="3">
    <mergeCell ref="A1:B1"/>
    <mergeCell ref="A2:B2"/>
    <mergeCell ref="A6:B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2:C9"/>
  <sheetViews>
    <sheetView workbookViewId="0">
      <selection activeCell="D2" sqref="D2"/>
    </sheetView>
  </sheetViews>
  <sheetFormatPr defaultColWidth="9.14285714285714" defaultRowHeight="15" outlineLevelCol="2"/>
  <cols>
    <col min="1" max="1" width="12.7142857142857"/>
    <col min="2" max="2" width="36.5714285714286"/>
    <col min="3" max="3" width="40.4285714285714" customWidth="1"/>
  </cols>
  <sheetData>
    <row r="2" ht="15.75" spans="1:3">
      <c r="A2" s="4" t="s">
        <v>8</v>
      </c>
      <c r="B2" s="4" t="s">
        <v>28</v>
      </c>
      <c r="C2" s="4" t="s">
        <v>29</v>
      </c>
    </row>
    <row r="3" ht="15.75" spans="1:3">
      <c r="A3" s="5">
        <v>18</v>
      </c>
      <c r="B3" s="5">
        <v>836803032</v>
      </c>
      <c r="C3" s="5">
        <v>185364.183693041</v>
      </c>
    </row>
    <row r="4" ht="15.75" spans="1:3">
      <c r="A4" s="5">
        <v>19</v>
      </c>
      <c r="B4" s="5">
        <v>983915409.85665</v>
      </c>
      <c r="C4" s="5">
        <v>185696.149625078</v>
      </c>
    </row>
    <row r="5" ht="15.75" spans="1:3">
      <c r="A5" s="5">
        <v>20</v>
      </c>
      <c r="B5" s="5">
        <v>947263006.72395</v>
      </c>
      <c r="C5" s="5">
        <v>183916.604171908</v>
      </c>
    </row>
    <row r="6" ht="15.75" spans="1:3">
      <c r="A6" s="5">
        <v>21</v>
      </c>
      <c r="B6" s="5">
        <v>1002691883.0466</v>
      </c>
      <c r="C6" s="5">
        <v>198574.574024725</v>
      </c>
    </row>
    <row r="7" ht="15.75" spans="1:3">
      <c r="A7" s="5">
        <v>22</v>
      </c>
      <c r="B7" s="5">
        <v>1055653508.75385</v>
      </c>
      <c r="C7" s="5">
        <v>193853.91031129</v>
      </c>
    </row>
    <row r="8" ht="15.75" spans="1:3">
      <c r="A8" s="5">
        <v>23</v>
      </c>
      <c r="B8" s="5">
        <v>136032376.68135</v>
      </c>
      <c r="C8" s="5">
        <v>162439.385840777</v>
      </c>
    </row>
    <row r="9" ht="15.75" spans="1:3">
      <c r="A9" s="5" t="s">
        <v>31</v>
      </c>
      <c r="B9" s="5">
        <v>4962359217.0624</v>
      </c>
      <c r="C9" s="5">
        <v>188750.119580819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E1000"/>
  <sheetViews>
    <sheetView workbookViewId="0">
      <selection activeCell="F1" sqref="F1"/>
    </sheetView>
  </sheetViews>
  <sheetFormatPr defaultColWidth="14.4285714285714" defaultRowHeight="15" customHeight="1" outlineLevelCol="4"/>
  <cols>
    <col min="1" max="1" width="12.7142857142857" customWidth="1"/>
    <col min="2" max="2" width="22.8571428571429" customWidth="1"/>
    <col min="3" max="3" width="22.7142857142857" customWidth="1"/>
    <col min="4" max="4" width="22.1428571428571" customWidth="1"/>
    <col min="5" max="5" width="25.4285714285714" customWidth="1"/>
    <col min="6" max="26" width="8.71428571428571" customWidth="1"/>
  </cols>
  <sheetData>
    <row r="1" ht="14.25" customHeight="1" spans="1: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</row>
    <row r="2" ht="14.25" customHeight="1" spans="1:5">
      <c r="A2" s="2">
        <v>43949</v>
      </c>
      <c r="B2" s="3" t="s">
        <v>16</v>
      </c>
      <c r="C2" s="3">
        <v>36</v>
      </c>
      <c r="D2" s="3">
        <v>4923</v>
      </c>
      <c r="E2" s="3">
        <v>4560</v>
      </c>
    </row>
    <row r="3" ht="14.25" customHeight="1" spans="1:5">
      <c r="A3" s="2">
        <v>43949</v>
      </c>
      <c r="B3" s="3" t="s">
        <v>11</v>
      </c>
      <c r="C3" s="3">
        <v>31</v>
      </c>
      <c r="D3" s="3">
        <v>5465</v>
      </c>
      <c r="E3" s="3">
        <v>5096</v>
      </c>
    </row>
    <row r="4" ht="14.25" customHeight="1" spans="1:5">
      <c r="A4" s="2">
        <v>43949</v>
      </c>
      <c r="B4" s="3" t="s">
        <v>17</v>
      </c>
      <c r="C4" s="3">
        <v>19</v>
      </c>
      <c r="D4" s="3">
        <v>1846</v>
      </c>
      <c r="E4" s="3">
        <v>1681</v>
      </c>
    </row>
    <row r="5" ht="14.25" customHeight="1" spans="1:5">
      <c r="A5" s="2">
        <v>43949</v>
      </c>
      <c r="B5" s="3" t="s">
        <v>10</v>
      </c>
      <c r="C5" s="3">
        <v>18</v>
      </c>
      <c r="D5" s="3">
        <v>1539</v>
      </c>
      <c r="E5" s="3">
        <v>1404</v>
      </c>
    </row>
    <row r="6" ht="14.25" customHeight="1" spans="1:5">
      <c r="A6" s="2">
        <v>43949</v>
      </c>
      <c r="B6" s="3" t="s">
        <v>20</v>
      </c>
      <c r="C6" s="3">
        <v>18</v>
      </c>
      <c r="D6" s="3">
        <v>1505</v>
      </c>
      <c r="E6" s="3">
        <v>1368</v>
      </c>
    </row>
    <row r="7" ht="14.25" customHeight="1" spans="1:5">
      <c r="A7" s="2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ht="14.25" customHeight="1" spans="1:5">
      <c r="A8" s="2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ht="14.25" customHeight="1" spans="1:5">
      <c r="A9" s="2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ht="14.25" customHeight="1" spans="1:5">
      <c r="A10" s="2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ht="14.25" customHeight="1" spans="1:5">
      <c r="A11" s="2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ht="14.25" customHeight="1" spans="1:5">
      <c r="A12" s="2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ht="14.25" customHeight="1" spans="1:5">
      <c r="A13" s="2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ht="14.25" customHeight="1" spans="1:5">
      <c r="A14" s="2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ht="14.25" customHeight="1" spans="1:5">
      <c r="A15" s="2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ht="14.25" customHeight="1" spans="1:5">
      <c r="A16" s="2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ht="14.25" customHeight="1" spans="1:5">
      <c r="A17" s="2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ht="14.25" customHeight="1" spans="1:5">
      <c r="A18" s="2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ht="14.25" customHeight="1" spans="1:5">
      <c r="A19" s="2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ht="14.25" customHeight="1" spans="1:5">
      <c r="A20" s="2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ht="14.25" customHeight="1" spans="1:5">
      <c r="A21" s="2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ht="14.25" customHeight="1" spans="1:5">
      <c r="A22" s="2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ht="14.25" customHeight="1" spans="1:5">
      <c r="A23" s="2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ht="14.25" customHeight="1" spans="1:5">
      <c r="A24" s="2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ht="14.25" customHeight="1" spans="1:5">
      <c r="A25" s="2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ht="14.25" customHeight="1" spans="1:5">
      <c r="A26" s="2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ht="14.25" customHeight="1" spans="1:5">
      <c r="A27" s="2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ht="14.25" customHeight="1" spans="1:5">
      <c r="A28" s="2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ht="14.25" customHeight="1" spans="1:5">
      <c r="A29" s="2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ht="14.25" customHeight="1" spans="1:5">
      <c r="A30" s="2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ht="14.25" customHeight="1" spans="1:5">
      <c r="A31" s="2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ht="14.25" customHeight="1" spans="1:5">
      <c r="A32" s="2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ht="14.25" customHeight="1" spans="1:5">
      <c r="A33" s="2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ht="14.25" customHeight="1" spans="1:5">
      <c r="A34" s="2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ht="14.25" customHeight="1" spans="1:5">
      <c r="A35" s="2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ht="14.25" customHeight="1" spans="1:5">
      <c r="A36" s="2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ht="14.25" customHeight="1" spans="1:5">
      <c r="A37" s="2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ht="14.25" customHeight="1" spans="1:5">
      <c r="A38" s="2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ht="14.25" customHeight="1" spans="1:5">
      <c r="A39" s="2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ht="14.25" customHeight="1" spans="1:5">
      <c r="A40" s="2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ht="14.25" customHeight="1" spans="1:5">
      <c r="A41" s="2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ht="14.25" customHeight="1" spans="1:5">
      <c r="A42" s="2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ht="14.25" customHeight="1" spans="1:5">
      <c r="A43" s="2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ht="14.25" customHeight="1" spans="1:5">
      <c r="A44" s="2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ht="14.25" customHeight="1" spans="1:5">
      <c r="A45" s="2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ht="14.25" customHeight="1" spans="1:5">
      <c r="A46" s="2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ht="14.25" customHeight="1" spans="1:5">
      <c r="A47" s="2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ht="14.25" customHeight="1" spans="1:5">
      <c r="A48" s="2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ht="14.25" customHeight="1" spans="1:5">
      <c r="A49" s="2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ht="14.25" customHeight="1" spans="1:5">
      <c r="A50" s="2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ht="14.25" customHeight="1" spans="1:5">
      <c r="A51" s="2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ht="14.25" customHeight="1" spans="1:5">
      <c r="A52" s="2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ht="14.25" customHeight="1" spans="1:5">
      <c r="A53" s="2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ht="14.25" customHeight="1" spans="1:5">
      <c r="A54" s="2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ht="14.25" customHeight="1" spans="1:5">
      <c r="A55" s="2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ht="14.25" customHeight="1" spans="1:5">
      <c r="A56" s="2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ht="14.25" customHeight="1" spans="1:5">
      <c r="A57" s="2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ht="14.25" customHeight="1" spans="1:5">
      <c r="A58" s="2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ht="14.25" customHeight="1" spans="1:5">
      <c r="A59" s="2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ht="14.25" customHeight="1" spans="1:5">
      <c r="A60" s="2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ht="14.25" customHeight="1" spans="1:5">
      <c r="A61" s="2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ht="14.25" customHeight="1" spans="1:5">
      <c r="A62" s="2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ht="14.25" customHeight="1" spans="1:5">
      <c r="A63" s="2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ht="14.25" customHeight="1" spans="1:5">
      <c r="A64" s="2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ht="14.25" customHeight="1" spans="1:5">
      <c r="A65" s="2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ht="14.25" customHeight="1" spans="1:5">
      <c r="A66" s="2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ht="14.25" customHeight="1" spans="1:5">
      <c r="A67" s="2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ht="14.25" customHeight="1" spans="1:5">
      <c r="A68" s="2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ht="14.25" customHeight="1" spans="1:5">
      <c r="A69" s="2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ht="14.25" customHeight="1" spans="1:5">
      <c r="A70" s="2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ht="14.25" customHeight="1" spans="1:5">
      <c r="A71" s="2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ht="14.25" customHeight="1" spans="1:5">
      <c r="A72" s="2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ht="14.25" customHeight="1" spans="1:5">
      <c r="A73" s="2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ht="14.25" customHeight="1" spans="1:5">
      <c r="A74" s="2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ht="14.25" customHeight="1" spans="1:5">
      <c r="A75" s="2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ht="14.25" customHeight="1" spans="1:5">
      <c r="A76" s="2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ht="14.25" customHeight="1" spans="1:5">
      <c r="A77" s="2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ht="14.25" customHeight="1" spans="1:5">
      <c r="A78" s="2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ht="14.25" customHeight="1" spans="1:5">
      <c r="A79" s="2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ht="14.25" customHeight="1" spans="1:5">
      <c r="A80" s="2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ht="14.25" customHeight="1" spans="1:5">
      <c r="A81" s="2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ht="14.25" customHeight="1" spans="1:5">
      <c r="A82" s="2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ht="14.25" customHeight="1" spans="1:5">
      <c r="A83" s="2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ht="14.25" customHeight="1" spans="1:5">
      <c r="A84" s="2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ht="14.25" customHeight="1" spans="1:5">
      <c r="A85" s="2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ht="14.25" customHeight="1" spans="1:5">
      <c r="A86" s="2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ht="14.25" customHeight="1" spans="1:5">
      <c r="A87" s="2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ht="14.25" customHeight="1" spans="1:5">
      <c r="A88" s="2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ht="14.25" customHeight="1" spans="1:5">
      <c r="A89" s="2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ht="14.25" customHeight="1" spans="1:5">
      <c r="A90" s="2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ht="14.25" customHeight="1" spans="1:5">
      <c r="A91" s="2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ht="14.25" customHeight="1" spans="1:5">
      <c r="A92" s="2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ht="14.25" customHeight="1" spans="1:5">
      <c r="A93" s="2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ht="14.25" customHeight="1" spans="1:5">
      <c r="A94" s="2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ht="14.25" customHeight="1" spans="1:5">
      <c r="A95" s="2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ht="14.25" customHeight="1" spans="1:5">
      <c r="A96" s="2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ht="14.25" customHeight="1" spans="1:5">
      <c r="A97" s="2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ht="14.25" customHeight="1" spans="1:5">
      <c r="A98" s="2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ht="14.25" customHeight="1" spans="1:5">
      <c r="A99" s="2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ht="14.25" customHeight="1" spans="1:5">
      <c r="A100" s="2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ht="14.25" customHeight="1" spans="1:5">
      <c r="A101" s="2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ht="14.25" customHeight="1" spans="1:5">
      <c r="A102" s="2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ht="14.25" customHeight="1" spans="1:5">
      <c r="A103" s="2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ht="14.25" customHeight="1" spans="1:5">
      <c r="A104" s="2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ht="14.25" customHeight="1" spans="1:5">
      <c r="A105" s="2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ht="14.25" customHeight="1" spans="1:5">
      <c r="A106" s="2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ht="14.25" customHeight="1" spans="1:5">
      <c r="A107" s="2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ht="14.25" customHeight="1" spans="1:5">
      <c r="A108" s="2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ht="14.25" customHeight="1" spans="1:5">
      <c r="A109" s="2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ht="14.25" customHeight="1" spans="1:5">
      <c r="A110" s="2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ht="14.25" customHeight="1" spans="1:5">
      <c r="A111" s="2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ht="14.25" customHeight="1" spans="1:5">
      <c r="A112" s="2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ht="14.25" customHeight="1" spans="1:5">
      <c r="A113" s="2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ht="14.25" customHeight="1" spans="1:5">
      <c r="A114" s="2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ht="14.25" customHeight="1" spans="1:5">
      <c r="A115" s="2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ht="14.25" customHeight="1" spans="1:5">
      <c r="A116" s="2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ht="14.25" customHeight="1" spans="1:5">
      <c r="A117" s="2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ht="14.25" customHeight="1" spans="1:5">
      <c r="A118" s="2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ht="14.25" customHeight="1" spans="1:5">
      <c r="A119" s="2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ht="14.25" customHeight="1" spans="1:5">
      <c r="A120" s="2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ht="14.25" customHeight="1" spans="1:5">
      <c r="A121" s="2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ht="14.25" customHeight="1" spans="1:5">
      <c r="A122" s="2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ht="14.25" customHeight="1" spans="1:5">
      <c r="A123" s="2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ht="14.25" customHeight="1" spans="1:5">
      <c r="A124" s="2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ht="14.25" customHeight="1" spans="1:5">
      <c r="A125" s="2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ht="14.25" customHeight="1" spans="1:5">
      <c r="A126" s="2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ht="14.25" customHeight="1" spans="1:5">
      <c r="A127" s="2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ht="14.25" customHeight="1" spans="1:5">
      <c r="A128" s="2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ht="14.25" customHeight="1" spans="1:5">
      <c r="A129" s="2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ht="14.25" customHeight="1" spans="1:5">
      <c r="A130" s="2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ht="14.25" customHeight="1" spans="1:5">
      <c r="A131" s="2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ht="14.25" customHeight="1" spans="1:5">
      <c r="A132" s="2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ht="14.25" customHeight="1" spans="1:5">
      <c r="A133" s="2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ht="14.25" customHeight="1" spans="1:5">
      <c r="A134" s="2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ht="14.25" customHeight="1" spans="1:5">
      <c r="A135" s="2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ht="14.25" customHeight="1" spans="1:5">
      <c r="A136" s="2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ht="14.25" customHeight="1" spans="1:5">
      <c r="A137" s="2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ht="14.25" customHeight="1" spans="1:5">
      <c r="A138" s="2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ht="14.25" customHeight="1" spans="1:5">
      <c r="A139" s="2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ht="14.25" customHeight="1" spans="1:5">
      <c r="A140" s="2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ht="14.25" customHeight="1" spans="1:5">
      <c r="A141" s="2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ht="14.25" customHeight="1" spans="1:5">
      <c r="A142" s="2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ht="14.25" customHeight="1" spans="1:5">
      <c r="A143" s="2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ht="14.25" customHeight="1" spans="1:5">
      <c r="A144" s="2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ht="14.25" customHeight="1" spans="1:5">
      <c r="A145" s="2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ht="14.25" customHeight="1" spans="1:5">
      <c r="A146" s="2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ht="14.25" customHeight="1" spans="1:5">
      <c r="A147" s="2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ht="14.25" customHeight="1" spans="1:5">
      <c r="A148" s="2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ht="14.25" customHeight="1" spans="1:5">
      <c r="A149" s="2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ht="14.25" customHeight="1" spans="1:5">
      <c r="A150" s="2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ht="14.25" customHeight="1" spans="1:5">
      <c r="A151" s="2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ht="14.25" customHeight="1" spans="1:5">
      <c r="A152" s="2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ht="14.25" customHeight="1" spans="1:5">
      <c r="A153" s="2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ht="14.25" customHeight="1" spans="1:5">
      <c r="A154" s="2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ht="14.25" customHeight="1" spans="1:5">
      <c r="A155" s="2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ht="14.25" customHeight="1" spans="1:5">
      <c r="A156" s="2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ht="14.25" customHeight="1" spans="1:5">
      <c r="A157" s="2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ht="14.25" customHeight="1" spans="1:5">
      <c r="A158" s="2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ht="14.25" customHeight="1" spans="1:5">
      <c r="A159" s="2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ht="14.25" customHeight="1" spans="1:5">
      <c r="A160" s="2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ht="14.25" customHeight="1" spans="1:5">
      <c r="A161" s="2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ht="14.25" customHeight="1" spans="1:5">
      <c r="A162" s="2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ht="14.25" customHeight="1" spans="1:5">
      <c r="A163" s="2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ht="14.25" customHeight="1" spans="1:5">
      <c r="A164" s="2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ht="14.25" customHeight="1" spans="1:5">
      <c r="A165" s="2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ht="14.25" customHeight="1" spans="1:5">
      <c r="A166" s="2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ht="14.25" customHeight="1" spans="1:5">
      <c r="A167" s="2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ht="14.25" customHeight="1" spans="1:5">
      <c r="A168" s="2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ht="14.25" customHeight="1" spans="1:5">
      <c r="A169" s="2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ht="14.25" customHeight="1" spans="1:5">
      <c r="A170" s="2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ht="14.25" customHeight="1" spans="1:5">
      <c r="A171" s="2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ht="14.25" customHeight="1" spans="1:5">
      <c r="A172" s="2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ht="14.25" customHeight="1" spans="1:5">
      <c r="A173" s="2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ht="14.25" customHeight="1" spans="1:5">
      <c r="A174" s="2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ht="14.25" customHeight="1" spans="1:5">
      <c r="A175" s="2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ht="14.25" customHeight="1" spans="1:5">
      <c r="A176" s="2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ht="14.25" customHeight="1" spans="1:5">
      <c r="A177" s="2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ht="14.25" customHeight="1" spans="1:5">
      <c r="A178" s="2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ht="14.25" customHeight="1" spans="1:5">
      <c r="A179" s="2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ht="14.25" customHeight="1" spans="1:5">
      <c r="A180" s="2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ht="14.25" customHeight="1" spans="1:5">
      <c r="A181" s="2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ht="14.25" customHeight="1" spans="1:5">
      <c r="A182" s="2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ht="14.25" customHeight="1" spans="1:5">
      <c r="A183" s="2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ht="14.25" customHeight="1" spans="1:5">
      <c r="A184" s="2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ht="14.25" customHeight="1" spans="1:5">
      <c r="A185" s="2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ht="14.25" customHeight="1" spans="1:5">
      <c r="A186" s="2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ht="14.25" customHeight="1" spans="1:5">
      <c r="A187" s="2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ht="14.25" customHeight="1" spans="1:5">
      <c r="A188" s="2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ht="14.25" customHeight="1" spans="1:5">
      <c r="A189" s="2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ht="14.25" customHeight="1" spans="1:5">
      <c r="A190" s="2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ht="14.25" customHeight="1" spans="1:5">
      <c r="A191" s="2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ht="14.25" customHeight="1" spans="1:5">
      <c r="A192" s="2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ht="14.25" customHeight="1" spans="1:5">
      <c r="A193" s="2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ht="14.25" customHeight="1" spans="1:5">
      <c r="A194" s="2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ht="14.25" customHeight="1" spans="1:5">
      <c r="A195" s="2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ht="14.25" customHeight="1" spans="1:5">
      <c r="A196" s="2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ht="14.25" customHeight="1" spans="1:5">
      <c r="A197" s="2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ht="14.25" customHeight="1" spans="1:5">
      <c r="A198" s="2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ht="14.25" customHeight="1" spans="1:5">
      <c r="A199" s="2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ht="14.25" customHeight="1" spans="1:5">
      <c r="A200" s="2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ht="14.25" customHeight="1" spans="1:5">
      <c r="A201" s="2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ht="14.25" customHeight="1" spans="1:5">
      <c r="A202" s="2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ht="14.25" customHeight="1" spans="1:5">
      <c r="A203" s="2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ht="14.25" customHeight="1" spans="1:5">
      <c r="A204" s="2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ht="14.25" customHeight="1" spans="1:5">
      <c r="A205" s="2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ht="14.25" customHeight="1" spans="1:5">
      <c r="A206" s="2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ht="14.25" customHeight="1" spans="1:5">
      <c r="A207" s="2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ht="14.25" customHeight="1" spans="1:5">
      <c r="A208" s="2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ht="14.25" customHeight="1" spans="1:5">
      <c r="A209" s="2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ht="14.25" customHeight="1" spans="1:5">
      <c r="A210" s="2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ht="14.25" customHeight="1" spans="1:5">
      <c r="A211" s="2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ht="14.25" customHeight="1" spans="1:5">
      <c r="A212" s="2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ht="14.25" customHeight="1" spans="1:5">
      <c r="A213" s="2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ht="14.25" customHeight="1" spans="1:5">
      <c r="A214" s="2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ht="14.25" customHeight="1" spans="1:5">
      <c r="A215" s="2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ht="14.25" customHeight="1" spans="1:5">
      <c r="A216" s="2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ht="14.25" customHeight="1" spans="1:5">
      <c r="A217" s="2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ht="14.25" customHeight="1" spans="1:5">
      <c r="A218" s="2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ht="14.25" customHeight="1" spans="1:5">
      <c r="A219" s="2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ht="14.25" customHeight="1" spans="1:5">
      <c r="A220" s="2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ht="14.25" customHeight="1" spans="1:5">
      <c r="A221" s="2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ht="14.25" customHeight="1" spans="1:5">
      <c r="A222" s="2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ht="14.25" customHeight="1" spans="1:5">
      <c r="A223" s="2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ht="14.25" customHeight="1" spans="1:5">
      <c r="A224" s="2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ht="14.25" customHeight="1" spans="1:5">
      <c r="A225" s="2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ht="14.25" customHeight="1" spans="1:5">
      <c r="A226" s="2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ht="14.25" customHeight="1" spans="1:5">
      <c r="A227" s="2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ht="14.25" customHeight="1" spans="1:5">
      <c r="A228" s="2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ht="14.25" customHeight="1" spans="1:5">
      <c r="A229" s="2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ht="14.25" customHeight="1" spans="1:5">
      <c r="A230" s="2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ht="14.25" customHeight="1" spans="1:5">
      <c r="A231" s="2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ht="14.25" customHeight="1" spans="1:5">
      <c r="A232" s="2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ht="14.25" customHeight="1" spans="1:5">
      <c r="A233" s="2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ht="14.25" customHeight="1" spans="1:5">
      <c r="A234" s="2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ht="14.25" customHeight="1" spans="1:5">
      <c r="A235" s="2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ht="14.25" customHeight="1" spans="1:5">
      <c r="A236" s="2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ht="14.25" customHeight="1" spans="1:5">
      <c r="A237" s="2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ht="14.25" customHeight="1" spans="1:5">
      <c r="A238" s="2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ht="14.25" customHeight="1" spans="1:5">
      <c r="A239" s="2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ht="14.25" customHeight="1" spans="1:5">
      <c r="A240" s="2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ht="14.25" customHeight="1" spans="1:5">
      <c r="A241" s="2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ht="14.25" customHeight="1" spans="1:5">
      <c r="A242" s="2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ht="14.25" customHeight="1" spans="1:5">
      <c r="A243" s="2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ht="14.25" customHeight="1" spans="1:5">
      <c r="A244" s="2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ht="14.25" customHeight="1" spans="1:5">
      <c r="A245" s="2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ht="14.25" customHeight="1" spans="1:5">
      <c r="A246" s="2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ht="14.25" customHeight="1" spans="1:5">
      <c r="A247" s="2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ht="14.25" customHeight="1" spans="1:5">
      <c r="A248" s="2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ht="14.25" customHeight="1" spans="1:5">
      <c r="A249" s="2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ht="14.25" customHeight="1" spans="1:5">
      <c r="A250" s="2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ht="14.25" customHeight="1" spans="1:5">
      <c r="A251" s="2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ht="14.25" customHeight="1" spans="1:5">
      <c r="A252" s="2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ht="14.25" customHeight="1" spans="1:5">
      <c r="A253" s="2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ht="14.25" customHeight="1" spans="1:5">
      <c r="A254" s="2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ht="14.25" customHeight="1" spans="1:5">
      <c r="A255" s="2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ht="14.25" customHeight="1" spans="1:5">
      <c r="A256" s="2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ht="14.25" customHeight="1" spans="1:5">
      <c r="A257" s="2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ht="14.25" customHeight="1" spans="1:5">
      <c r="A258" s="2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ht="14.25" customHeight="1" spans="1:5">
      <c r="A259" s="2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ht="14.25" customHeight="1" spans="1:5">
      <c r="A260" s="2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ht="14.25" customHeight="1" spans="1:5">
      <c r="A261" s="2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ht="14.25" customHeight="1" spans="1:5">
      <c r="A262" s="2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ht="14.25" customHeight="1" spans="1:5">
      <c r="A263" s="2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ht="14.25" customHeight="1" spans="1:5">
      <c r="A264" s="2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ht="14.25" customHeight="1" spans="1:5">
      <c r="A265" s="2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ht="14.25" customHeight="1" spans="1:5">
      <c r="A266" s="2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ht="14.25" customHeight="1" spans="1:5">
      <c r="A267" s="2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ht="14.25" customHeight="1" spans="1:5">
      <c r="A268" s="2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ht="14.25" customHeight="1" spans="1:5">
      <c r="A269" s="2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ht="14.25" customHeight="1" spans="1:5">
      <c r="A270" s="2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ht="14.25" customHeight="1" spans="1:5">
      <c r="A271" s="2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ht="14.25" customHeight="1" spans="1:5">
      <c r="A272" s="2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ht="14.25" customHeight="1" spans="1:5">
      <c r="A273" s="2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ht="14.25" customHeight="1" spans="1:5">
      <c r="A274" s="2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ht="14.25" customHeight="1" spans="1:5">
      <c r="A275" s="2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ht="14.25" customHeight="1" spans="1:5">
      <c r="A276" s="2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ht="14.25" customHeight="1" spans="1:5">
      <c r="A277" s="2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ht="14.25" customHeight="1" spans="1:5">
      <c r="A278" s="2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ht="14.25" customHeight="1" spans="1:5">
      <c r="A279" s="2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ht="14.25" customHeight="1" spans="1:5">
      <c r="A280" s="2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ht="14.25" customHeight="1" spans="1:5">
      <c r="A281" s="2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ht="14.25" customHeight="1" spans="1:5">
      <c r="A282" s="2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ht="14.25" customHeight="1" spans="1:5">
      <c r="A283" s="2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ht="14.25" customHeight="1" spans="1:5">
      <c r="A284" s="2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ht="14.25" customHeight="1" spans="1:5">
      <c r="A285" s="2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ht="14.25" customHeight="1" spans="1:5">
      <c r="A286" s="2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ht="14.25" customHeight="1" spans="1:5">
      <c r="A287" s="2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ht="14.25" customHeight="1" spans="1:5">
      <c r="A288" s="2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ht="14.25" customHeight="1" spans="1:5">
      <c r="A289" s="2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ht="14.25" customHeight="1" spans="1:5">
      <c r="A290" s="2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ht="14.25" customHeight="1" spans="1:5">
      <c r="A291" s="2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ht="14.25" customHeight="1" spans="1:5">
      <c r="A292" s="2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ht="14.25" customHeight="1" spans="1:5">
      <c r="A293" s="2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ht="14.25" customHeight="1" spans="1:5">
      <c r="A294" s="2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ht="14.25" customHeight="1" spans="1:5">
      <c r="A295" s="2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ht="14.25" customHeight="1" spans="1:5">
      <c r="A296" s="2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ht="14.25" customHeight="1" spans="1:5">
      <c r="A297" s="2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ht="14.25" customHeight="1" spans="1:5">
      <c r="A298" s="2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ht="14.25" customHeight="1" spans="1:5">
      <c r="A299" s="2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ht="14.25" customHeight="1" spans="1:5">
      <c r="A300" s="2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ht="14.25" customHeight="1" spans="1:5">
      <c r="A301" s="2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ht="14.25" customHeight="1" spans="1:5">
      <c r="A302" s="2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ht="14.25" customHeight="1" spans="1:5">
      <c r="A303" s="2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ht="14.25" customHeight="1" spans="1:5">
      <c r="A304" s="2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ht="14.25" customHeight="1" spans="1:5">
      <c r="A305" s="2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ht="14.25" customHeight="1" spans="1:5">
      <c r="A306" s="2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ht="14.25" customHeight="1" spans="1:5">
      <c r="A307" s="2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ht="14.25" customHeight="1" spans="1:5">
      <c r="A308" s="2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ht="14.25" customHeight="1" spans="1:5">
      <c r="A309" s="2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ht="14.25" customHeight="1" spans="1:5">
      <c r="A310" s="2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ht="14.25" customHeight="1" spans="1:5">
      <c r="A311" s="2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ht="14.25" customHeight="1" spans="1:5">
      <c r="A312" s="2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ht="14.25" customHeight="1" spans="1:5">
      <c r="A313" s="2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ht="14.25" customHeight="1" spans="1:5">
      <c r="A314" s="2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ht="14.25" customHeight="1" spans="1:5">
      <c r="A315" s="2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ht="14.25" customHeight="1" spans="1:5">
      <c r="A316" s="2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ht="14.25" customHeight="1" spans="1:5">
      <c r="A317" s="2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ht="14.25" customHeight="1" spans="1:5">
      <c r="A318" s="2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ht="14.25" customHeight="1" spans="1:5">
      <c r="A319" s="2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ht="14.25" customHeight="1" spans="1:5">
      <c r="A320" s="2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ht="14.25" customHeight="1" spans="1:5">
      <c r="A321" s="2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ht="14.25" customHeight="1" spans="1:5">
      <c r="A322" s="2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ht="14.25" customHeight="1" spans="1:5">
      <c r="A323" s="2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ht="14.25" customHeight="1" spans="1:5">
      <c r="A324" s="2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ht="14.25" customHeight="1" spans="1:5">
      <c r="A325" s="2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ht="14.25" customHeight="1" spans="1:5">
      <c r="A326" s="2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ht="14.25" customHeight="1" spans="1:5">
      <c r="A327" s="2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ht="14.25" customHeight="1" spans="1:5">
      <c r="A328" s="2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ht="14.25" customHeight="1" spans="1:5">
      <c r="A329" s="2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ht="14.25" customHeight="1" spans="1:5">
      <c r="A330" s="2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ht="14.25" customHeight="1" spans="1:5">
      <c r="A331" s="2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ht="14.25" customHeight="1" spans="1:5">
      <c r="A332" s="2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ht="14.25" customHeight="1" spans="1:5">
      <c r="A333" s="2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ht="14.25" customHeight="1" spans="1:5">
      <c r="A334" s="2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ht="14.25" customHeight="1" spans="1:5">
      <c r="A335" s="2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ht="14.25" customHeight="1" spans="1:5">
      <c r="A336" s="2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ht="14.25" customHeight="1" spans="1:5">
      <c r="A337" s="2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ht="14.25" customHeight="1" spans="1:5">
      <c r="A338" s="2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ht="14.25" customHeight="1" spans="1:5">
      <c r="A339" s="2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ht="14.25" customHeight="1" spans="1:5">
      <c r="A340" s="2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ht="14.25" customHeight="1" spans="1:5">
      <c r="A341" s="2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ht="14.25" customHeight="1" spans="1:5">
      <c r="A342" s="2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ht="14.25" customHeight="1" spans="1:5">
      <c r="A343" s="2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ht="14.25" customHeight="1" spans="1:5">
      <c r="A344" s="2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ht="14.25" customHeight="1" spans="1:5">
      <c r="A345" s="2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ht="14.25" customHeight="1" spans="1:5">
      <c r="A346" s="2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ht="14.25" customHeight="1" spans="1:5">
      <c r="A347" s="2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ht="14.25" customHeight="1" spans="1:5">
      <c r="A348" s="2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ht="14.25" customHeight="1" spans="1:5">
      <c r="A349" s="2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ht="14.25" customHeight="1" spans="1:5">
      <c r="A350" s="2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ht="14.25" customHeight="1" spans="1:5">
      <c r="A351" s="2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ht="14.25" customHeight="1" spans="1:5">
      <c r="A352" s="2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ht="14.25" customHeight="1" spans="1:5">
      <c r="A353" s="2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ht="14.25" customHeight="1" spans="1:5">
      <c r="A354" s="2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ht="14.25" customHeight="1" spans="1:5">
      <c r="A355" s="2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ht="14.25" customHeight="1" spans="1:5">
      <c r="A356" s="2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ht="14.25" customHeight="1" spans="1:5">
      <c r="A357" s="2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ht="14.25" customHeight="1" spans="1:5">
      <c r="A358" s="2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ht="14.25" customHeight="1" spans="1:5">
      <c r="A359" s="2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ht="14.25" customHeight="1" spans="1:5">
      <c r="A360" s="2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ht="14.25" customHeight="1" spans="1:5">
      <c r="A361" s="2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ht="14.25" customHeight="1" spans="1:5">
      <c r="A362" s="2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ht="14.25" customHeight="1" spans="1:5">
      <c r="A363" s="2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ht="14.25" customHeight="1" spans="1:5">
      <c r="A364" s="2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ht="14.25" customHeight="1" spans="1:5">
      <c r="A365" s="2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ht="14.25" customHeight="1" spans="1:5">
      <c r="A366" s="2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ht="14.25" customHeight="1" spans="1:5">
      <c r="A367" s="2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ht="14.25" customHeight="1" spans="1:5">
      <c r="A368" s="2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ht="14.25" customHeight="1" spans="1:5">
      <c r="A369" s="2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ht="14.25" customHeight="1" spans="1:5">
      <c r="A370" s="2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ht="14.25" customHeight="1" spans="1:5">
      <c r="A371" s="2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ht="14.25" customHeight="1" spans="1:5">
      <c r="A372" s="2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ht="14.25" customHeight="1" spans="1:5">
      <c r="A373" s="2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ht="14.25" customHeight="1" spans="1:5">
      <c r="A374" s="2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ht="14.25" customHeight="1" spans="1:5">
      <c r="A375" s="2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ht="14.25" customHeight="1" spans="1:5">
      <c r="A376" s="2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ht="14.25" customHeight="1" spans="1:5">
      <c r="A377" s="2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ht="14.25" customHeight="1" spans="1:5">
      <c r="A378" s="2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ht="14.25" customHeight="1" spans="1:5">
      <c r="A379" s="2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ht="14.25" customHeight="1" spans="1:5">
      <c r="A380" s="2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ht="14.25" customHeight="1" spans="1:5">
      <c r="A381" s="2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ht="14.25" customHeight="1" spans="1:5">
      <c r="A382" s="2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ht="14.25" customHeight="1" spans="1:5">
      <c r="A383" s="2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ht="14.25" customHeight="1" spans="1:5">
      <c r="A384" s="2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ht="14.25" customHeight="1" spans="1:5">
      <c r="A385" s="2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ht="14.25" customHeight="1" spans="1:5">
      <c r="A386" s="2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ht="14.25" customHeight="1" spans="1:5">
      <c r="A387" s="2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ht="14.25" customHeight="1" spans="1:5">
      <c r="A388" s="2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ht="14.25" customHeight="1" spans="1:5">
      <c r="A389" s="2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ht="14.25" customHeight="1" spans="1:5">
      <c r="A390" s="2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ht="14.25" customHeight="1" spans="1:5">
      <c r="A391" s="2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ht="14.25" customHeight="1" spans="1:5">
      <c r="A392" s="2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ht="14.25" customHeight="1" spans="1:5">
      <c r="A393" s="2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ht="14.25" customHeight="1" spans="1:5">
      <c r="A394" s="2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ht="14.25" customHeight="1" spans="1:5">
      <c r="A395" s="2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ht="14.25" customHeight="1" spans="1:5">
      <c r="A396" s="2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ht="14.25" customHeight="1" spans="1:5">
      <c r="A397" s="2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ht="14.25" customHeight="1" spans="1:5">
      <c r="A398" s="2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ht="14.25" customHeight="1" spans="1:5">
      <c r="A399" s="2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ht="14.25" customHeight="1" spans="1:5">
      <c r="A400" s="2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ht="14.25" customHeight="1" spans="1:5">
      <c r="A401" s="2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ht="14.25" customHeight="1" spans="1:5">
      <c r="A402" s="2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ht="14.25" customHeight="1" spans="1:5">
      <c r="A403" s="2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ht="14.25" customHeight="1" spans="1:5">
      <c r="A404" s="2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ht="14.25" customHeight="1" spans="1:5">
      <c r="A405" s="2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ht="14.25" customHeight="1" spans="1:5">
      <c r="A406" s="2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ht="14.25" customHeight="1" spans="1:5">
      <c r="A407" s="2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ht="14.25" customHeight="1" spans="1:5">
      <c r="A408" s="2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ht="14.25" customHeight="1" spans="1:5">
      <c r="A409" s="2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ht="14.25" customHeight="1" spans="1:5">
      <c r="A410" s="2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ht="14.25" customHeight="1" spans="1:5">
      <c r="A411" s="2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ht="14.25" customHeight="1" spans="1:5">
      <c r="A412" s="2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ht="14.25" customHeight="1" spans="1:5">
      <c r="A413" s="2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ht="14.25" customHeight="1" spans="1:5">
      <c r="A414" s="2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ht="14.25" customHeight="1" spans="1:5">
      <c r="A415" s="2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ht="14.25" customHeight="1" spans="1:5">
      <c r="A416" s="2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ht="14.25" customHeight="1" spans="1:5">
      <c r="A417" s="2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ht="14.25" customHeight="1" spans="1:5">
      <c r="A418" s="2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ht="14.25" customHeight="1" spans="1:5">
      <c r="A419" s="2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ht="14.25" customHeight="1" spans="1:5">
      <c r="A420" s="2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ht="14.25" customHeight="1" spans="1:5">
      <c r="A421" s="2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ht="14.25" customHeight="1" spans="1:5">
      <c r="A422" s="2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ht="14.25" customHeight="1" spans="1:5">
      <c r="A423" s="2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ht="14.25" customHeight="1" spans="1:5">
      <c r="A424" s="2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ht="14.25" customHeight="1" spans="1:5">
      <c r="A425" s="2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ht="14.25" customHeight="1" spans="1:5">
      <c r="A426" s="2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ht="14.25" customHeight="1" spans="1:5">
      <c r="A427" s="2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ht="14.25" customHeight="1" spans="1:5">
      <c r="A428" s="2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ht="14.25" customHeight="1" spans="1:5">
      <c r="A429" s="2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ht="14.25" customHeight="1" spans="1:5">
      <c r="A430" s="2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ht="14.25" customHeight="1" spans="1:5">
      <c r="A431" s="2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ht="14.25" customHeight="1" spans="1:5">
      <c r="A432" s="2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ht="14.25" customHeight="1" spans="1:5">
      <c r="A433" s="2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ht="14.25" customHeight="1" spans="1:5">
      <c r="A434" s="2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ht="14.25" customHeight="1" spans="1:5">
      <c r="A435" s="2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ht="14.25" customHeight="1" spans="1:5">
      <c r="A436" s="2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ht="14.25" customHeight="1" spans="1:5">
      <c r="A437" s="2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ht="14.25" customHeight="1" spans="1:5">
      <c r="A438" s="2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ht="14.25" customHeight="1" spans="1:5">
      <c r="A439" s="2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ht="14.25" customHeight="1" spans="1:5">
      <c r="A440" s="2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ht="14.25" customHeight="1" spans="1:5">
      <c r="A441" s="2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ht="14.25" customHeight="1" spans="1:5">
      <c r="A442" s="2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ht="14.25" customHeight="1" spans="1:5">
      <c r="A443" s="2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ht="14.25" customHeight="1" spans="1:5">
      <c r="A444" s="2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ht="14.25" customHeight="1" spans="1:5">
      <c r="A445" s="2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ht="14.25" customHeight="1" spans="1:5">
      <c r="A446" s="2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ht="14.25" customHeight="1" spans="1:5">
      <c r="A447" s="2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ht="14.25" customHeight="1" spans="1:5">
      <c r="A448" s="2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ht="14.25" customHeight="1" spans="1:5">
      <c r="A449" s="2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ht="14.25" customHeight="1" spans="1:5">
      <c r="A450" s="2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ht="14.25" customHeight="1" spans="1:5">
      <c r="A451" s="2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ht="14.25" customHeight="1" spans="1:5">
      <c r="A452" s="2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ht="14.25" customHeight="1" spans="1:5">
      <c r="A453" s="2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ht="14.25" customHeight="1" spans="1:5">
      <c r="A454" s="2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ht="14.25" customHeight="1" spans="1:5">
      <c r="A455" s="2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ht="14.25" customHeight="1" spans="1:5">
      <c r="A456" s="2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ht="14.25" customHeight="1" spans="1:5">
      <c r="A457" s="2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ht="14.25" customHeight="1" spans="1:5">
      <c r="A458" s="2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ht="14.25" customHeight="1" spans="1:5">
      <c r="A459" s="2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ht="14.25" customHeight="1" spans="1:5">
      <c r="A460" s="2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ht="14.25" customHeight="1" spans="1:5">
      <c r="A461" s="2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ht="14.25" customHeight="1" spans="1:5">
      <c r="A462" s="2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ht="14.25" customHeight="1" spans="1:5">
      <c r="A463" s="2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ht="14.25" customHeight="1" spans="1:5">
      <c r="A464" s="2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ht="14.25" customHeight="1" spans="1:5">
      <c r="A465" s="2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ht="14.25" customHeight="1" spans="1:5">
      <c r="A466" s="2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ht="14.25" customHeight="1" spans="1:5">
      <c r="A467" s="2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ht="14.25" customHeight="1" spans="1:5">
      <c r="A468" s="2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ht="14.25" customHeight="1" spans="1:5">
      <c r="A469" s="2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ht="14.25" customHeight="1" spans="1:5">
      <c r="A470" s="2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ht="14.25" customHeight="1" spans="1:5">
      <c r="A471" s="2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ht="14.25" customHeight="1" spans="1:5">
      <c r="A472" s="2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ht="14.25" customHeight="1" spans="1:5">
      <c r="A473" s="2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ht="14.25" customHeight="1" spans="1:5">
      <c r="A474" s="2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ht="14.25" customHeight="1" spans="1:5">
      <c r="A475" s="2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ht="14.25" customHeight="1" spans="1:5">
      <c r="A476" s="2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ht="14.25" customHeight="1" spans="1:5">
      <c r="A477" s="2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ht="14.25" customHeight="1" spans="1:5">
      <c r="A478" s="2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ht="14.25" customHeight="1" spans="1:5">
      <c r="A479" s="2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ht="14.25" customHeight="1" spans="1:5">
      <c r="A480" s="2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ht="14.25" customHeight="1" spans="1:5">
      <c r="A481" s="2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ht="14.25" customHeight="1" spans="1:5">
      <c r="A482" s="2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ht="14.25" customHeight="1" spans="1:5">
      <c r="A483" s="2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ht="14.25" customHeight="1" spans="1:5">
      <c r="A484" s="2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ht="14.25" customHeight="1" spans="1:5">
      <c r="A485" s="2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ht="14.25" customHeight="1" spans="1:5">
      <c r="A486" s="2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ht="14.25" customHeight="1" spans="1:5">
      <c r="A487" s="2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ht="14.25" customHeight="1" spans="1:5">
      <c r="A488" s="2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ht="14.25" customHeight="1" spans="1:5">
      <c r="A489" s="2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ht="14.25" customHeight="1" spans="1:5">
      <c r="A490" s="2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ht="14.25" customHeight="1" spans="1:5">
      <c r="A491" s="2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ht="14.25" customHeight="1" spans="1:5">
      <c r="A492" s="2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ht="14.25" customHeight="1" spans="1:5">
      <c r="A493" s="2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ht="14.25" customHeight="1" spans="1:5">
      <c r="A494" s="2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ht="14.25" customHeight="1" spans="1:5">
      <c r="A495" s="2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ht="14.25" customHeight="1" spans="1:5">
      <c r="A496" s="2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ht="14.25" customHeight="1" spans="1:5">
      <c r="A497" s="2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ht="14.25" customHeight="1" spans="1:5">
      <c r="A498" s="2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ht="14.25" customHeight="1" spans="1:5">
      <c r="A499" s="2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ht="14.25" customHeight="1" spans="1:5">
      <c r="A500" s="2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ht="14.25" customHeight="1" spans="1:5">
      <c r="A501" s="2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ht="14.25" customHeight="1" spans="1:5">
      <c r="A502" s="2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ht="14.25" customHeight="1" spans="1:5">
      <c r="A503" s="2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ht="14.25" customHeight="1" spans="1:5">
      <c r="A504" s="2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ht="14.25" customHeight="1" spans="1:5">
      <c r="A505" s="2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Объединенные данные</vt:lpstr>
      <vt:lpstr>Сводная таблица</vt:lpstr>
      <vt:lpstr>ТОП 3</vt:lpstr>
      <vt:lpstr>График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Nur Ablakhat</cp:lastModifiedBy>
  <dcterms:created xsi:type="dcterms:W3CDTF">2021-09-13T10:17:00Z</dcterms:created>
  <dcterms:modified xsi:type="dcterms:W3CDTF">2026-01-09T15:26:29Z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1049-12.2.0.23196</vt:lpwstr>
  </property>
  <property fmtid="{D5CDD505-2E9C-101B-9397-08002B2CF9AE}" pid="3" name="ICV">
    <vt:lpwstr>DC115E57BD9745178ED50C2221A5C79C_12</vt:lpwstr>
  </property>
</Properties>
</file>